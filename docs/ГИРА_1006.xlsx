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0" fontId="7" fillId="0" borderId="0" pivotButton="0" quotePrefix="0" xfId="0"/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3" fontId="3" fillId="3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tabSelected="1" zoomScale="150" zoomScaleNormal="98" workbookViewId="0">
      <pane xSplit="3" ySplit="16" topLeftCell="D17" activePane="bottomRight" state="frozen"/>
      <selection pane="topRight" activeCell="D1" sqref="D1"/>
      <selection pane="bottomLeft" activeCell="A16" sqref="A16"/>
      <selection pane="bottomRight" activeCell="G10" sqref="G10"/>
    </sheetView>
  </sheetViews>
  <sheetFormatPr baseColWidth="10" defaultColWidth="10" defaultRowHeight="15"/>
  <cols>
    <col width="12" customWidth="1" min="1" max="1"/>
    <col width="11" customWidth="1" min="2" max="2"/>
    <col width="24.33203125" bestFit="1" customWidth="1" style="1" min="3" max="3"/>
    <col width="9.33203125" bestFit="1" customWidth="1" min="4" max="4"/>
    <col width="7.33203125" bestFit="1" customWidth="1" min="5" max="5"/>
    <col width="9.83203125" bestFit="1" customWidth="1" style="1" min="6" max="6"/>
    <col width="10" bestFit="1" customWidth="1" style="1" min="7" max="7"/>
    <col width="11.33203125" customWidth="1" min="8" max="8"/>
    <col width="14.6640625" customWidth="1" style="1" min="9" max="9"/>
    <col width="10" bestFit="1" customWidth="1" style="1" min="10" max="10"/>
    <col width="10.83203125" customWidth="1" min="11" max="11"/>
    <col width="9.83203125" bestFit="1" customWidth="1" style="1" min="12" max="12"/>
    <col width="13.5" customWidth="1" style="1" min="13" max="13"/>
    <col width="7.1640625" bestFit="1" customWidth="1" min="14" max="14"/>
    <col width="9.83203125" bestFit="1" customWidth="1" style="1" min="15" max="15"/>
    <col width="8.5" bestFit="1" customWidth="1" style="1" min="16" max="16"/>
    <col width="7.5" bestFit="1" customWidth="1" min="17" max="17"/>
    <col width="9.83203125" bestFit="1" customWidth="1" style="1" min="18" max="18"/>
    <col width="8.5" bestFit="1" customWidth="1" style="1" min="19" max="19"/>
    <col width="7" bestFit="1" customWidth="1" min="20" max="20"/>
    <col width="9.83203125" bestFit="1" customWidth="1" style="1" min="21" max="21"/>
    <col width="8.5" bestFit="1" customWidth="1" style="1" min="22" max="22"/>
    <col width="14.5" customWidth="1" min="23" max="23"/>
    <col width="9.83203125" bestFit="1" customWidth="1" style="1" min="24" max="24"/>
    <col width="8.5" bestFit="1" customWidth="1" style="1" min="25" max="25"/>
    <col width="12.5" customWidth="1" min="26" max="26"/>
    <col width="9.83203125" bestFit="1" customWidth="1" style="1" min="27" max="27"/>
    <col width="8.5" bestFit="1" customWidth="1" style="1" min="28" max="28"/>
    <col width="6.5" bestFit="1" customWidth="1" min="29" max="29"/>
    <col width="9.83203125" bestFit="1" customWidth="1" style="1" min="30" max="30"/>
    <col width="8.5" bestFit="1" customWidth="1" style="1" min="31" max="31"/>
    <col width="6.83203125" bestFit="1" customWidth="1" min="32" max="32"/>
    <col width="9.83203125" bestFit="1" customWidth="1" style="1" min="33" max="33"/>
    <col width="8.5" bestFit="1" customWidth="1" style="1" min="34" max="34"/>
    <col width="6.83203125" bestFit="1" customWidth="1" min="35" max="35"/>
    <col width="9.83203125" bestFit="1" customWidth="1" style="1" min="36" max="36"/>
    <col width="8.5" bestFit="1" customWidth="1" style="1" min="37" max="37"/>
    <col width="7" bestFit="1" customWidth="1" min="38" max="38"/>
    <col width="9.83203125" bestFit="1" customWidth="1" style="1" min="39" max="39"/>
    <col width="8.5" bestFit="1" customWidth="1" style="1" min="40" max="40"/>
    <col width="7.83203125" bestFit="1" customWidth="1" min="41" max="41"/>
    <col width="9.83203125" bestFit="1" customWidth="1" style="1" min="42" max="42"/>
    <col width="8.5" bestFit="1" customWidth="1" style="1" min="43" max="43"/>
    <col width="6.33203125" bestFit="1" customWidth="1" style="1" min="44" max="44"/>
    <col width="9.83203125" bestFit="1" customWidth="1" style="1" min="45" max="45"/>
    <col width="8.5" bestFit="1" customWidth="1" min="46" max="46"/>
    <col width="7.83203125" bestFit="1" customWidth="1" min="47" max="47"/>
    <col width="9.83203125" bestFit="1" customWidth="1" min="48" max="48"/>
    <col width="8.5" bestFit="1" customWidth="1" min="49" max="49"/>
    <col width="6.83203125" bestFit="1" customWidth="1" min="50" max="50"/>
    <col width="9.83203125" bestFit="1" customWidth="1" min="51" max="51"/>
    <col width="8.5" bestFit="1" customWidth="1" min="52" max="52"/>
    <col width="6" bestFit="1" customWidth="1" min="53" max="53"/>
    <col width="9.83203125" bestFit="1" customWidth="1" min="54" max="54"/>
    <col width="8.5" bestFit="1" customWidth="1" min="55" max="55"/>
    <col width="7" bestFit="1" customWidth="1" min="56" max="56"/>
    <col width="9.83203125" bestFit="1" customWidth="1" min="57" max="57"/>
    <col width="8.5" bestFit="1" customWidth="1" min="58" max="58"/>
    <col width="7" bestFit="1" customWidth="1" min="59" max="59"/>
    <col width="9.83203125" bestFit="1" customWidth="1" min="60" max="60"/>
    <col width="8.5" bestFit="1" customWidth="1" min="61" max="61"/>
    <col width="6.33203125" bestFit="1" customWidth="1" min="62" max="62"/>
    <col width="9.83203125" bestFit="1" customWidth="1" min="63" max="63"/>
    <col width="8.5" bestFit="1" customWidth="1" min="64" max="64"/>
    <col width="6.1640625" bestFit="1" customWidth="1" min="65" max="65"/>
    <col width="9.83203125" bestFit="1" customWidth="1" min="66" max="66"/>
    <col width="8.5" bestFit="1" customWidth="1" min="67" max="67"/>
    <col width="6.83203125" bestFit="1" customWidth="1" min="68" max="68"/>
    <col width="9.83203125" bestFit="1" customWidth="1" min="69" max="69"/>
    <col width="8.5" bestFit="1" customWidth="1" min="70" max="70"/>
    <col width="7.5" bestFit="1" customWidth="1" min="71" max="71"/>
    <col width="9.83203125" bestFit="1" customWidth="1" min="72" max="72"/>
    <col width="8.5" bestFit="1" customWidth="1" min="73" max="73"/>
    <col width="7" bestFit="1" customWidth="1" min="74" max="74"/>
    <col width="9.83203125" bestFit="1" customWidth="1" min="75" max="75"/>
    <col width="8.5" bestFit="1" customWidth="1" min="76" max="76"/>
    <col width="6.5" bestFit="1" customWidth="1" min="77" max="77"/>
    <col width="9.83203125" bestFit="1" customWidth="1" min="78" max="78"/>
    <col width="8.5" bestFit="1" customWidth="1" min="79" max="79"/>
  </cols>
  <sheetData>
    <row r="1">
      <c r="A1" s="46" t="inlineStr">
        <is>
          <t>Кадастр</t>
        </is>
      </c>
      <c r="B1" s="58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3" t="inlineStr">
        <is>
          <t>Потребл.</t>
        </is>
      </c>
      <c r="G1" s="74" t="n">
        <v>45962</v>
      </c>
      <c r="H1" s="13" t="n">
        <v>46023</v>
      </c>
      <c r="I1" s="73" t="inlineStr">
        <is>
          <t>Потребл.</t>
        </is>
      </c>
      <c r="J1" s="74" t="n">
        <v>45992</v>
      </c>
      <c r="K1" s="13" t="n">
        <v>46054</v>
      </c>
      <c r="L1" s="73" t="inlineStr">
        <is>
          <t>Потребл.</t>
        </is>
      </c>
      <c r="M1" s="74" t="n">
        <v>46023</v>
      </c>
      <c r="N1" s="13" t="n">
        <v>46082</v>
      </c>
      <c r="O1" s="73" t="inlineStr">
        <is>
          <t>Потребл.</t>
        </is>
      </c>
      <c r="P1" s="74" t="n">
        <v>46054</v>
      </c>
      <c r="Q1" s="13" t="n">
        <v>46113</v>
      </c>
      <c r="R1" s="73" t="inlineStr">
        <is>
          <t>Потребл.</t>
        </is>
      </c>
      <c r="S1" s="74" t="n">
        <v>46082</v>
      </c>
      <c r="T1" s="13" t="n">
        <v>46143</v>
      </c>
      <c r="U1" s="73" t="inlineStr">
        <is>
          <t>Потребл.</t>
        </is>
      </c>
      <c r="V1" s="74" t="n">
        <v>46113</v>
      </c>
      <c r="W1" s="13" t="n">
        <v>46174</v>
      </c>
      <c r="X1" s="73" t="inlineStr">
        <is>
          <t>Потребл.</t>
        </is>
      </c>
      <c r="Y1" s="74" t="n">
        <v>46143</v>
      </c>
      <c r="Z1" s="13" t="n">
        <v>46204</v>
      </c>
      <c r="AA1" s="73" t="inlineStr">
        <is>
          <t>Потребл.</t>
        </is>
      </c>
      <c r="AB1" s="74" t="n">
        <v>46174</v>
      </c>
      <c r="AC1" s="13" t="n">
        <v>46235</v>
      </c>
      <c r="AD1" s="73" t="inlineStr">
        <is>
          <t>Потребл.</t>
        </is>
      </c>
      <c r="AE1" s="74" t="n">
        <v>46204</v>
      </c>
      <c r="AF1" s="13" t="n">
        <v>46266</v>
      </c>
      <c r="AG1" s="73" t="inlineStr">
        <is>
          <t>Потребл.</t>
        </is>
      </c>
      <c r="AH1" s="74" t="n">
        <v>46235</v>
      </c>
      <c r="AI1" s="13" t="n">
        <v>46296</v>
      </c>
      <c r="AJ1" s="73" t="inlineStr">
        <is>
          <t>Потребл.</t>
        </is>
      </c>
      <c r="AK1" s="74" t="n">
        <v>46266</v>
      </c>
      <c r="AL1" s="13" t="n">
        <v>46327</v>
      </c>
      <c r="AM1" s="73" t="inlineStr">
        <is>
          <t>Потребл.</t>
        </is>
      </c>
      <c r="AN1" s="74" t="n">
        <v>46296</v>
      </c>
      <c r="AO1" s="13" t="n">
        <v>46357</v>
      </c>
      <c r="AP1" s="73" t="inlineStr">
        <is>
          <t>Потребл.</t>
        </is>
      </c>
      <c r="AQ1" s="74" t="n">
        <v>46327</v>
      </c>
      <c r="AR1" s="13" t="n">
        <v>46388</v>
      </c>
      <c r="AS1" s="73" t="inlineStr">
        <is>
          <t>Потребл.</t>
        </is>
      </c>
      <c r="AT1" s="74" t="n">
        <v>46357</v>
      </c>
      <c r="AU1" s="13" t="n">
        <v>46419</v>
      </c>
      <c r="AV1" s="73" t="inlineStr">
        <is>
          <t>Потребл.</t>
        </is>
      </c>
      <c r="AW1" s="74" t="n">
        <v>46388</v>
      </c>
      <c r="AX1" s="13" t="n">
        <v>46447</v>
      </c>
      <c r="AY1" s="73" t="inlineStr">
        <is>
          <t>Потребл.</t>
        </is>
      </c>
      <c r="AZ1" s="74" t="n">
        <v>46419</v>
      </c>
      <c r="BA1" s="13" t="n">
        <v>46478</v>
      </c>
      <c r="BB1" s="73" t="inlineStr">
        <is>
          <t>Потребл.</t>
        </is>
      </c>
      <c r="BC1" s="74" t="n">
        <v>46447</v>
      </c>
      <c r="BD1" s="13" t="n">
        <v>46508</v>
      </c>
      <c r="BE1" s="73" t="inlineStr">
        <is>
          <t>Потребл.</t>
        </is>
      </c>
      <c r="BF1" s="74" t="n">
        <v>46478</v>
      </c>
      <c r="BG1" s="13" t="n">
        <v>46539</v>
      </c>
      <c r="BH1" s="73" t="inlineStr">
        <is>
          <t>Потребл.</t>
        </is>
      </c>
      <c r="BI1" s="74" t="n">
        <v>46508</v>
      </c>
      <c r="BJ1" s="13" t="n">
        <v>46569</v>
      </c>
      <c r="BK1" s="73" t="inlineStr">
        <is>
          <t>Потребл.</t>
        </is>
      </c>
      <c r="BL1" s="74" t="n">
        <v>46539</v>
      </c>
      <c r="BM1" s="13" t="n">
        <v>46600</v>
      </c>
      <c r="BN1" s="73" t="inlineStr">
        <is>
          <t>Потребл.</t>
        </is>
      </c>
      <c r="BO1" s="74" t="n">
        <v>46569</v>
      </c>
      <c r="BP1" s="13" t="n">
        <v>46631</v>
      </c>
      <c r="BQ1" s="73" t="inlineStr">
        <is>
          <t>Потребл.</t>
        </is>
      </c>
      <c r="BR1" s="74" t="n">
        <v>46600</v>
      </c>
      <c r="BS1" s="13" t="n">
        <v>46661</v>
      </c>
      <c r="BT1" s="73" t="inlineStr">
        <is>
          <t>Потребл.</t>
        </is>
      </c>
      <c r="BU1" s="74" t="n">
        <v>46631</v>
      </c>
      <c r="BV1" s="13" t="n">
        <v>46692</v>
      </c>
      <c r="BW1" s="73" t="inlineStr">
        <is>
          <t>Потребл.</t>
        </is>
      </c>
      <c r="BX1" s="74" t="n">
        <v>46661</v>
      </c>
      <c r="BY1" s="13" t="n">
        <v>46722</v>
      </c>
      <c r="BZ1" s="73" t="inlineStr">
        <is>
          <t>Потребл.</t>
        </is>
      </c>
      <c r="CA1" s="74" t="n">
        <v>46692</v>
      </c>
    </row>
    <row r="2" customFormat="1" s="3">
      <c r="A2" s="46" t="inlineStr">
        <is>
          <t>Потребитель</t>
        </is>
      </c>
      <c r="B2" s="47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6" t="inlineStr">
        <is>
          <t>Площадь</t>
        </is>
      </c>
      <c r="B3" s="47" t="n">
        <v>487.4499999999999</v>
      </c>
      <c r="C3" s="30" t="inlineStr">
        <is>
          <t>Электричество</t>
        </is>
      </c>
      <c r="D3" s="60" t="n">
        <v>245000</v>
      </c>
      <c r="E3" s="61" t="n">
        <v>245035</v>
      </c>
      <c r="F3" s="6">
        <f>E3-D3</f>
        <v/>
      </c>
      <c r="G3" s="12" t="n">
        <v>210</v>
      </c>
      <c r="H3" s="60" t="n">
        <v>245077</v>
      </c>
      <c r="I3" s="6">
        <f>H3-E3</f>
        <v/>
      </c>
      <c r="J3" s="12" t="n">
        <v>252</v>
      </c>
      <c r="K3" s="60" t="n">
        <v>245112</v>
      </c>
      <c r="L3" s="6">
        <f>K3-H3</f>
        <v/>
      </c>
      <c r="M3" s="12" t="n">
        <v>210</v>
      </c>
      <c r="N3" s="61" t="n"/>
      <c r="O3" s="6">
        <f>N3-K3</f>
        <v/>
      </c>
      <c r="P3" s="12" t="n"/>
      <c r="Q3" s="61" t="n"/>
      <c r="R3" s="6">
        <f>Q3-N3</f>
        <v/>
      </c>
      <c r="S3" s="12" t="n"/>
      <c r="T3" s="61" t="n"/>
      <c r="U3" s="6">
        <f>T3-Q3</f>
        <v/>
      </c>
      <c r="V3" s="12" t="n"/>
      <c r="W3" s="61" t="n"/>
      <c r="X3" s="6">
        <f>W3-T3</f>
        <v/>
      </c>
      <c r="Y3" s="12" t="n"/>
      <c r="Z3" s="61" t="n"/>
      <c r="AA3" s="6">
        <f>Z3-W3</f>
        <v/>
      </c>
      <c r="AB3" s="12" t="n"/>
      <c r="AC3" s="61" t="n"/>
      <c r="AD3" s="6">
        <f>AC3-Z3</f>
        <v/>
      </c>
      <c r="AE3" s="12" t="n"/>
      <c r="AF3" s="61" t="n"/>
      <c r="AG3" s="6">
        <f>AF3-AC3</f>
        <v/>
      </c>
      <c r="AH3" s="12" t="n"/>
      <c r="AI3" s="61" t="n"/>
      <c r="AJ3" s="6">
        <f>AI3-AF3</f>
        <v/>
      </c>
      <c r="AK3" s="12" t="n"/>
      <c r="AL3" s="61" t="n"/>
      <c r="AM3" s="6">
        <f>AL3-AI3</f>
        <v/>
      </c>
      <c r="AN3" s="12" t="n"/>
      <c r="AO3" s="61" t="n"/>
      <c r="AP3" s="6">
        <f>AO3-AL3</f>
        <v/>
      </c>
      <c r="AQ3" s="12" t="n"/>
      <c r="AR3" s="61" t="n"/>
      <c r="AS3" s="6">
        <f>AR3-AO3</f>
        <v/>
      </c>
      <c r="AT3" s="12" t="n"/>
      <c r="AU3" s="61" t="n"/>
      <c r="AV3" s="6">
        <f>AU3-AR3</f>
        <v/>
      </c>
      <c r="AW3" s="12" t="n"/>
      <c r="AX3" s="61" t="n"/>
      <c r="AY3" s="6">
        <f>AX3-AU3</f>
        <v/>
      </c>
      <c r="AZ3" s="12" t="n"/>
      <c r="BA3" s="61" t="n"/>
      <c r="BB3" s="6">
        <f>BA3-AX3</f>
        <v/>
      </c>
      <c r="BC3" s="12" t="n"/>
      <c r="BD3" s="61" t="n"/>
      <c r="BE3" s="6">
        <f>BD3-BA3</f>
        <v/>
      </c>
      <c r="BF3" s="12" t="n"/>
      <c r="BG3" s="61" t="n"/>
      <c r="BH3" s="6">
        <f>BG3-BD3</f>
        <v/>
      </c>
      <c r="BI3" s="12" t="n"/>
      <c r="BJ3" s="61" t="n"/>
      <c r="BK3" s="6">
        <f>BJ3-BG3</f>
        <v/>
      </c>
      <c r="BL3" s="12" t="n"/>
      <c r="BM3" s="61" t="n"/>
      <c r="BN3" s="6">
        <f>BM3-BJ3</f>
        <v/>
      </c>
      <c r="BO3" s="12" t="n"/>
      <c r="BP3" s="61" t="n"/>
      <c r="BQ3" s="6">
        <f>BP3-BM3</f>
        <v/>
      </c>
      <c r="BR3" s="12" t="n"/>
      <c r="BS3" s="61" t="n"/>
      <c r="BT3" s="6">
        <f>BS3-BP3</f>
        <v/>
      </c>
      <c r="BU3" s="12" t="n"/>
      <c r="BV3" s="61" t="n"/>
      <c r="BW3" s="6">
        <f>BV3-BS3</f>
        <v/>
      </c>
      <c r="BX3" s="12" t="n"/>
      <c r="BY3" s="61" t="n"/>
      <c r="BZ3" s="6">
        <f>BY3-BV3</f>
        <v/>
      </c>
      <c r="CA3" s="12" t="n"/>
    </row>
    <row r="4" ht="15" customHeight="1">
      <c r="A4" s="45" t="inlineStr">
        <is>
          <t>ИНН</t>
        </is>
      </c>
      <c r="B4" s="59" t="n"/>
      <c r="C4" s="30" t="inlineStr">
        <is>
          <t>Электричество тариф</t>
        </is>
      </c>
      <c r="D4" s="62" t="n"/>
      <c r="E4" s="63" t="n"/>
      <c r="F4" s="73" t="n"/>
      <c r="G4" s="7">
        <f>G3/F3</f>
        <v/>
      </c>
      <c r="H4" s="63" t="n"/>
      <c r="I4" s="73" t="n"/>
      <c r="J4" s="7">
        <f>J3/I3</f>
        <v/>
      </c>
      <c r="K4" s="63" t="n"/>
      <c r="L4" s="73" t="n"/>
      <c r="M4" s="7">
        <f>M3/L3</f>
        <v/>
      </c>
      <c r="N4" s="63" t="n"/>
      <c r="O4" s="73" t="n"/>
      <c r="P4" s="7">
        <f>P3/O3</f>
        <v/>
      </c>
      <c r="Q4" s="63" t="n"/>
      <c r="R4" s="73" t="n"/>
      <c r="S4" s="7">
        <f>S3/R3</f>
        <v/>
      </c>
      <c r="T4" s="63" t="n"/>
      <c r="U4" s="73" t="n"/>
      <c r="V4" s="7">
        <f>V3/U3</f>
        <v/>
      </c>
      <c r="W4" s="63" t="n"/>
      <c r="X4" s="73" t="n"/>
      <c r="Y4" s="7">
        <f>Y3/X3</f>
        <v/>
      </c>
      <c r="Z4" s="63" t="n"/>
      <c r="AA4" s="73" t="n"/>
      <c r="AB4" s="7">
        <f>AB3/AA3</f>
        <v/>
      </c>
      <c r="AC4" s="63" t="n"/>
      <c r="AD4" s="73" t="n"/>
      <c r="AE4" s="7">
        <f>AE3/AD3</f>
        <v/>
      </c>
      <c r="AF4" s="63" t="n"/>
      <c r="AG4" s="73" t="n"/>
      <c r="AH4" s="7">
        <f>AH3/AG3</f>
        <v/>
      </c>
      <c r="AI4" s="63" t="n"/>
      <c r="AJ4" s="73" t="n"/>
      <c r="AK4" s="7">
        <f>AK3/AJ3</f>
        <v/>
      </c>
      <c r="AL4" s="63" t="n"/>
      <c r="AM4" s="73" t="n"/>
      <c r="AN4" s="7">
        <f>AN3/AM3</f>
        <v/>
      </c>
      <c r="AO4" s="63" t="n"/>
      <c r="AP4" s="73" t="n"/>
      <c r="AQ4" s="7">
        <f>AQ3/AP3</f>
        <v/>
      </c>
      <c r="AR4" s="63" t="n"/>
      <c r="AS4" s="73" t="n"/>
      <c r="AT4" s="7">
        <f>AT3/AS3</f>
        <v/>
      </c>
      <c r="AU4" s="63" t="n"/>
      <c r="AV4" s="73" t="n"/>
      <c r="AW4" s="7">
        <f>AW3/AV3</f>
        <v/>
      </c>
      <c r="AX4" s="63" t="n"/>
      <c r="AY4" s="73" t="n"/>
      <c r="AZ4" s="7">
        <f>AZ3/AY3</f>
        <v/>
      </c>
      <c r="BA4" s="63" t="n"/>
      <c r="BB4" s="73" t="n"/>
      <c r="BC4" s="7">
        <f>BC3/BB3</f>
        <v/>
      </c>
      <c r="BD4" s="63" t="n"/>
      <c r="BE4" s="73" t="n"/>
      <c r="BF4" s="7">
        <f>BF3/BE3</f>
        <v/>
      </c>
      <c r="BG4" s="63" t="n"/>
      <c r="BH4" s="73" t="n"/>
      <c r="BI4" s="7">
        <f>BI3/BH3</f>
        <v/>
      </c>
      <c r="BJ4" s="63" t="n"/>
      <c r="BK4" s="73" t="n"/>
      <c r="BL4" s="7">
        <f>BL3/BK3</f>
        <v/>
      </c>
      <c r="BM4" s="63" t="n"/>
      <c r="BN4" s="73" t="n"/>
      <c r="BO4" s="7">
        <f>BO3/BN3</f>
        <v/>
      </c>
      <c r="BP4" s="63" t="n"/>
      <c r="BQ4" s="73" t="n"/>
      <c r="BR4" s="7">
        <f>BR3/BQ3</f>
        <v/>
      </c>
      <c r="BS4" s="63" t="n"/>
      <c r="BT4" s="73" t="n"/>
      <c r="BU4" s="7">
        <f>BU3/BT3</f>
        <v/>
      </c>
      <c r="BV4" s="63" t="n"/>
      <c r="BW4" s="73" t="n"/>
      <c r="BX4" s="7">
        <f>BX3/BW3</f>
        <v/>
      </c>
      <c r="BY4" s="63" t="n"/>
      <c r="BZ4" s="73" t="n"/>
      <c r="CA4" s="7">
        <f>CA3/BZ3</f>
        <v/>
      </c>
    </row>
    <row r="5" ht="15" customHeight="1">
      <c r="A5" s="59" t="inlineStr">
        <is>
          <t>Кол-во помещ</t>
        </is>
      </c>
      <c r="B5" s="59" t="n">
        <v>7</v>
      </c>
      <c r="C5" s="82" t="inlineStr">
        <is>
          <t>Водоканал холодная вода</t>
        </is>
      </c>
      <c r="D5" s="60" t="n">
        <v>32400</v>
      </c>
      <c r="E5" s="61" t="n">
        <v>32435</v>
      </c>
      <c r="F5" s="6">
        <f>E5-D5</f>
        <v/>
      </c>
      <c r="G5" s="83" t="n">
        <v>2100</v>
      </c>
      <c r="H5" s="60" t="n">
        <v>32477</v>
      </c>
      <c r="I5" s="6">
        <f>H5-E5</f>
        <v/>
      </c>
      <c r="J5" s="83" t="n">
        <v>2520</v>
      </c>
      <c r="K5" s="60" t="n">
        <v>32512</v>
      </c>
      <c r="L5" s="6">
        <f>K5-H5</f>
        <v/>
      </c>
      <c r="M5" s="83" t="n">
        <v>2100</v>
      </c>
      <c r="N5" s="61" t="n"/>
      <c r="O5" s="6">
        <f>N5-K5</f>
        <v/>
      </c>
      <c r="P5" s="6" t="n"/>
      <c r="Q5" s="61" t="n"/>
      <c r="R5" s="6">
        <f>Q5-N5</f>
        <v/>
      </c>
      <c r="S5" s="6" t="n"/>
      <c r="T5" s="61" t="n"/>
      <c r="U5" s="6">
        <f>T5-Q5</f>
        <v/>
      </c>
      <c r="V5" s="6" t="n"/>
      <c r="W5" s="61" t="n"/>
      <c r="X5" s="6">
        <f>W5-T5</f>
        <v/>
      </c>
      <c r="Y5" s="6" t="n"/>
      <c r="Z5" s="61" t="n"/>
      <c r="AA5" s="6">
        <f>Z5-W5</f>
        <v/>
      </c>
      <c r="AB5" s="6" t="n"/>
      <c r="AC5" s="61" t="n"/>
      <c r="AD5" s="6">
        <f>AC5-Z5</f>
        <v/>
      </c>
      <c r="AE5" s="6" t="n"/>
      <c r="AF5" s="61" t="n"/>
      <c r="AG5" s="6">
        <f>AF5-AC5</f>
        <v/>
      </c>
      <c r="AH5" s="6" t="n"/>
      <c r="AI5" s="61" t="n"/>
      <c r="AJ5" s="6">
        <f>AI5-AF5</f>
        <v/>
      </c>
      <c r="AK5" s="6" t="n"/>
      <c r="AL5" s="61" t="n"/>
      <c r="AM5" s="6">
        <f>AL5-AI5</f>
        <v/>
      </c>
      <c r="AN5" s="6" t="n"/>
      <c r="AO5" s="61" t="n"/>
      <c r="AP5" s="6">
        <f>AO5-AL5</f>
        <v/>
      </c>
      <c r="AQ5" s="6" t="n"/>
      <c r="AR5" s="61" t="n"/>
      <c r="AS5" s="6">
        <f>AR5-AO5</f>
        <v/>
      </c>
      <c r="AT5" s="6" t="n"/>
      <c r="AU5" s="61" t="n"/>
      <c r="AV5" s="6">
        <f>AU5-AR5</f>
        <v/>
      </c>
      <c r="AW5" s="6" t="n"/>
      <c r="AX5" s="61" t="n"/>
      <c r="AY5" s="6">
        <f>AX5-AU5</f>
        <v/>
      </c>
      <c r="AZ5" s="6" t="n"/>
      <c r="BA5" s="61" t="n"/>
      <c r="BB5" s="6">
        <f>BA5-AX5</f>
        <v/>
      </c>
      <c r="BC5" s="6" t="n"/>
      <c r="BD5" s="61" t="n"/>
      <c r="BE5" s="6">
        <f>BD5-BA5</f>
        <v/>
      </c>
      <c r="BF5" s="6" t="n"/>
      <c r="BG5" s="61" t="n"/>
      <c r="BH5" s="6">
        <f>BG5-BD5</f>
        <v/>
      </c>
      <c r="BI5" s="6" t="n"/>
      <c r="BJ5" s="61" t="n"/>
      <c r="BK5" s="6">
        <f>BJ5-BG5</f>
        <v/>
      </c>
      <c r="BL5" s="6" t="n"/>
      <c r="BM5" s="61" t="n"/>
      <c r="BN5" s="6">
        <f>BM5-BJ5</f>
        <v/>
      </c>
      <c r="BO5" s="6" t="n"/>
      <c r="BP5" s="61" t="n"/>
      <c r="BQ5" s="6">
        <f>BP5-BM5</f>
        <v/>
      </c>
      <c r="BR5" s="6" t="n"/>
      <c r="BS5" s="61" t="n"/>
      <c r="BT5" s="6">
        <f>BS5-BP5</f>
        <v/>
      </c>
      <c r="BU5" s="6" t="n"/>
      <c r="BV5" s="61" t="n"/>
      <c r="BW5" s="6">
        <f>BV5-BS5</f>
        <v/>
      </c>
      <c r="BX5" s="6" t="n"/>
      <c r="BY5" s="61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3" t="n"/>
      <c r="G6" s="8">
        <f>G5/F5</f>
        <v/>
      </c>
      <c r="H6" s="2" t="n"/>
      <c r="I6" s="73" t="n"/>
      <c r="J6" s="8">
        <f>J5/I5</f>
        <v/>
      </c>
      <c r="K6" s="2" t="n"/>
      <c r="L6" s="73" t="n"/>
      <c r="M6" s="8">
        <f>M5/L5</f>
        <v/>
      </c>
      <c r="N6" s="2" t="n"/>
      <c r="O6" s="73" t="n"/>
      <c r="P6" s="8">
        <f>P5/O5</f>
        <v/>
      </c>
      <c r="Q6" s="2" t="n"/>
      <c r="R6" s="73" t="n"/>
      <c r="S6" s="8">
        <f>S5/R5</f>
        <v/>
      </c>
      <c r="T6" s="2" t="n"/>
      <c r="U6" s="73" t="n"/>
      <c r="V6" s="8">
        <f>V5/U5</f>
        <v/>
      </c>
      <c r="W6" s="2" t="n"/>
      <c r="X6" s="73" t="n"/>
      <c r="Y6" s="8">
        <f>Y5/X5</f>
        <v/>
      </c>
      <c r="Z6" s="2" t="n"/>
      <c r="AA6" s="73" t="n"/>
      <c r="AB6" s="8">
        <f>AB5/AA5</f>
        <v/>
      </c>
      <c r="AC6" s="2" t="n"/>
      <c r="AD6" s="73" t="n"/>
      <c r="AE6" s="8">
        <f>AE5/AD5</f>
        <v/>
      </c>
      <c r="AF6" s="2" t="n"/>
      <c r="AG6" s="73" t="n"/>
      <c r="AH6" s="8">
        <f>AH5/AG5</f>
        <v/>
      </c>
      <c r="AI6" s="2" t="n"/>
      <c r="AJ6" s="73" t="n"/>
      <c r="AK6" s="8">
        <f>AK5/AJ5</f>
        <v/>
      </c>
      <c r="AL6" s="2" t="n"/>
      <c r="AM6" s="73" t="n"/>
      <c r="AN6" s="8">
        <f>AN5/AM5</f>
        <v/>
      </c>
      <c r="AO6" s="2" t="n"/>
      <c r="AP6" s="73" t="n"/>
      <c r="AQ6" s="8">
        <f>AQ5/AP5</f>
        <v/>
      </c>
      <c r="AR6" s="2" t="n"/>
      <c r="AS6" s="73" t="n"/>
      <c r="AT6" s="8">
        <f>AT5/AS5</f>
        <v/>
      </c>
      <c r="AU6" s="2" t="n"/>
      <c r="AV6" s="73" t="n"/>
      <c r="AW6" s="8">
        <f>AW5/AV5</f>
        <v/>
      </c>
      <c r="AX6" s="2" t="n"/>
      <c r="AY6" s="73" t="n"/>
      <c r="AZ6" s="8">
        <f>AZ5/AY5</f>
        <v/>
      </c>
      <c r="BA6" s="2" t="n"/>
      <c r="BB6" s="73" t="n"/>
      <c r="BC6" s="8">
        <f>BC5/BB5</f>
        <v/>
      </c>
      <c r="BD6" s="2" t="n"/>
      <c r="BE6" s="73" t="n"/>
      <c r="BF6" s="8">
        <f>BF5/BE5</f>
        <v/>
      </c>
      <c r="BG6" s="2" t="n"/>
      <c r="BH6" s="73" t="n"/>
      <c r="BI6" s="8">
        <f>BI5/BH5</f>
        <v/>
      </c>
      <c r="BJ6" s="2" t="n"/>
      <c r="BK6" s="73" t="n"/>
      <c r="BL6" s="8">
        <f>BL5/BK5</f>
        <v/>
      </c>
      <c r="BM6" s="2" t="n"/>
      <c r="BN6" s="73" t="n"/>
      <c r="BO6" s="8">
        <f>BO5/BN5</f>
        <v/>
      </c>
      <c r="BP6" s="2" t="n"/>
      <c r="BQ6" s="73" t="n"/>
      <c r="BR6" s="8">
        <f>BR5/BQ5</f>
        <v/>
      </c>
      <c r="BS6" s="2" t="n"/>
      <c r="BT6" s="73" t="n"/>
      <c r="BU6" s="8">
        <f>BU5/BT5</f>
        <v/>
      </c>
      <c r="BV6" s="2" t="n"/>
      <c r="BW6" s="73" t="n"/>
      <c r="BX6" s="8">
        <f>BX5/BW5</f>
        <v/>
      </c>
      <c r="BY6" s="2" t="n"/>
      <c r="BZ6" s="73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60" t="n">
        <v>17800</v>
      </c>
      <c r="E7" s="61" t="n">
        <v>17835</v>
      </c>
      <c r="F7" s="6">
        <f>E7-D7</f>
        <v/>
      </c>
      <c r="G7" s="83" t="n">
        <v>10500</v>
      </c>
      <c r="H7" s="60" t="n">
        <v>17877</v>
      </c>
      <c r="I7" s="6">
        <f>H7-E7</f>
        <v/>
      </c>
      <c r="J7" s="83" t="n">
        <v>12600</v>
      </c>
      <c r="K7" s="60" t="n">
        <v>17912</v>
      </c>
      <c r="L7" s="6">
        <f>K7-H7</f>
        <v/>
      </c>
      <c r="M7" s="83" t="n">
        <v>10500</v>
      </c>
      <c r="N7" s="61" t="n"/>
      <c r="O7" s="6">
        <f>N7-K7</f>
        <v/>
      </c>
      <c r="P7" s="6" t="n"/>
      <c r="Q7" s="61" t="n"/>
      <c r="R7" s="6">
        <f>Q7-N7</f>
        <v/>
      </c>
      <c r="S7" s="6" t="n"/>
      <c r="T7" s="61" t="n"/>
      <c r="U7" s="6">
        <f>T7-Q7</f>
        <v/>
      </c>
      <c r="V7" s="6" t="n"/>
      <c r="W7" s="61" t="n"/>
      <c r="X7" s="6">
        <f>W7-T7</f>
        <v/>
      </c>
      <c r="Y7" s="6" t="n"/>
      <c r="Z7" s="61" t="n"/>
      <c r="AA7" s="6">
        <f>Z7-W7</f>
        <v/>
      </c>
      <c r="AB7" s="6" t="n"/>
      <c r="AC7" s="61" t="n"/>
      <c r="AD7" s="6">
        <f>AC7-Z7</f>
        <v/>
      </c>
      <c r="AE7" s="6" t="n"/>
      <c r="AF7" s="61" t="n"/>
      <c r="AG7" s="6">
        <f>AF7-AC7</f>
        <v/>
      </c>
      <c r="AH7" s="6" t="n"/>
      <c r="AI7" s="61" t="n"/>
      <c r="AJ7" s="6">
        <f>AI7-AF7</f>
        <v/>
      </c>
      <c r="AK7" s="6" t="n"/>
      <c r="AL7" s="61" t="n"/>
      <c r="AM7" s="6">
        <f>AL7-AI7</f>
        <v/>
      </c>
      <c r="AN7" s="6" t="n"/>
      <c r="AO7" s="61" t="n"/>
      <c r="AP7" s="6">
        <f>AO7-AL7</f>
        <v/>
      </c>
      <c r="AQ7" s="6" t="n"/>
      <c r="AR7" s="61" t="n"/>
      <c r="AS7" s="6">
        <f>AR7-AO7</f>
        <v/>
      </c>
      <c r="AT7" s="6" t="n"/>
      <c r="AU7" s="61" t="n"/>
      <c r="AV7" s="6">
        <f>AU7-AR7</f>
        <v/>
      </c>
      <c r="AW7" s="6" t="n"/>
      <c r="AX7" s="61" t="n"/>
      <c r="AY7" s="6">
        <f>AX7-AU7</f>
        <v/>
      </c>
      <c r="AZ7" s="6" t="n"/>
      <c r="BA7" s="61" t="n"/>
      <c r="BB7" s="6">
        <f>BA7-AX7</f>
        <v/>
      </c>
      <c r="BC7" s="6" t="n"/>
      <c r="BD7" s="61" t="n"/>
      <c r="BE7" s="6">
        <f>BD7-BA7</f>
        <v/>
      </c>
      <c r="BF7" s="6" t="n"/>
      <c r="BG7" s="61" t="n"/>
      <c r="BH7" s="6">
        <f>BG7-BD7</f>
        <v/>
      </c>
      <c r="BI7" s="6" t="n"/>
      <c r="BJ7" s="61" t="n"/>
      <c r="BK7" s="6">
        <f>BJ7-BG7</f>
        <v/>
      </c>
      <c r="BL7" s="6" t="n"/>
      <c r="BM7" s="61" t="n"/>
      <c r="BN7" s="6">
        <f>BM7-BJ7</f>
        <v/>
      </c>
      <c r="BO7" s="6" t="n"/>
      <c r="BP7" s="61" t="n"/>
      <c r="BQ7" s="6">
        <f>BP7-BM7</f>
        <v/>
      </c>
      <c r="BR7" s="6" t="n"/>
      <c r="BS7" s="61" t="n"/>
      <c r="BT7" s="6">
        <f>BS7-BP7</f>
        <v/>
      </c>
      <c r="BU7" s="6" t="n"/>
      <c r="BV7" s="61" t="n"/>
      <c r="BW7" s="6">
        <f>BV7-BS7</f>
        <v/>
      </c>
      <c r="BX7" s="6" t="n"/>
      <c r="BY7" s="61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3" t="n"/>
      <c r="G8" s="8">
        <f>G7/F7</f>
        <v/>
      </c>
      <c r="H8" s="2" t="n"/>
      <c r="I8" s="73" t="n"/>
      <c r="J8" s="8">
        <f>J7/I7</f>
        <v/>
      </c>
      <c r="K8" s="2" t="n"/>
      <c r="L8" s="73" t="n"/>
      <c r="M8" s="8">
        <f>M7/L7</f>
        <v/>
      </c>
      <c r="N8" s="2" t="n"/>
      <c r="O8" s="73" t="n"/>
      <c r="P8" s="8">
        <f>P7/O7</f>
        <v/>
      </c>
      <c r="Q8" s="2" t="n"/>
      <c r="R8" s="73" t="n"/>
      <c r="S8" s="8">
        <f>S7/R7</f>
        <v/>
      </c>
      <c r="T8" s="2" t="n"/>
      <c r="U8" s="73" t="n"/>
      <c r="V8" s="8">
        <f>V7/U7</f>
        <v/>
      </c>
      <c r="W8" s="2" t="n"/>
      <c r="X8" s="73" t="n"/>
      <c r="Y8" s="8">
        <f>Y7/X7</f>
        <v/>
      </c>
      <c r="Z8" s="2" t="n"/>
      <c r="AA8" s="73" t="n"/>
      <c r="AB8" s="8">
        <f>AB7/AA7</f>
        <v/>
      </c>
      <c r="AC8" s="2" t="n"/>
      <c r="AD8" s="73" t="n"/>
      <c r="AE8" s="8">
        <f>AE7/AD7</f>
        <v/>
      </c>
      <c r="AF8" s="2" t="n"/>
      <c r="AG8" s="73" t="n"/>
      <c r="AH8" s="8">
        <f>AH7/AG7</f>
        <v/>
      </c>
      <c r="AI8" s="2" t="n"/>
      <c r="AJ8" s="73" t="n"/>
      <c r="AK8" s="8">
        <f>AK7/AJ7</f>
        <v/>
      </c>
      <c r="AL8" s="2" t="n"/>
      <c r="AM8" s="73" t="n"/>
      <c r="AN8" s="8">
        <f>AN7/AM7</f>
        <v/>
      </c>
      <c r="AO8" s="2" t="n"/>
      <c r="AP8" s="73" t="n"/>
      <c r="AQ8" s="8">
        <f>AQ7/AP7</f>
        <v/>
      </c>
      <c r="AR8" s="2" t="n"/>
      <c r="AS8" s="73" t="n"/>
      <c r="AT8" s="8">
        <f>AT7/AS7</f>
        <v/>
      </c>
      <c r="AU8" s="2" t="n"/>
      <c r="AV8" s="73" t="n"/>
      <c r="AW8" s="8">
        <f>AW7/AV7</f>
        <v/>
      </c>
      <c r="AX8" s="2" t="n"/>
      <c r="AY8" s="73" t="n"/>
      <c r="AZ8" s="8">
        <f>AZ7/AY7</f>
        <v/>
      </c>
      <c r="BA8" s="2" t="n"/>
      <c r="BB8" s="73" t="n"/>
      <c r="BC8" s="8">
        <f>BC7/BB7</f>
        <v/>
      </c>
      <c r="BD8" s="2" t="n"/>
      <c r="BE8" s="73" t="n"/>
      <c r="BF8" s="8">
        <f>BF7/BE7</f>
        <v/>
      </c>
      <c r="BG8" s="2" t="n"/>
      <c r="BH8" s="73" t="n"/>
      <c r="BI8" s="8">
        <f>BI7/BH7</f>
        <v/>
      </c>
      <c r="BJ8" s="2" t="n"/>
      <c r="BK8" s="73" t="n"/>
      <c r="BL8" s="8">
        <f>BL7/BK7</f>
        <v/>
      </c>
      <c r="BM8" s="2" t="n"/>
      <c r="BN8" s="73" t="n"/>
      <c r="BO8" s="8">
        <f>BO7/BN7</f>
        <v/>
      </c>
      <c r="BP8" s="2" t="n"/>
      <c r="BQ8" s="73" t="n"/>
      <c r="BR8" s="8">
        <f>BR7/BQ7</f>
        <v/>
      </c>
      <c r="BS8" s="2" t="n"/>
      <c r="BT8" s="73" t="n"/>
      <c r="BU8" s="8">
        <f>BU7/BT7</f>
        <v/>
      </c>
      <c r="BV8" s="2" t="n"/>
      <c r="BW8" s="73" t="n"/>
      <c r="BX8" s="8">
        <f>BX7/BW7</f>
        <v/>
      </c>
      <c r="BY8" s="2" t="n"/>
      <c r="BZ8" s="73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2" t="n"/>
      <c r="G9" s="83" t="n">
        <v>87500</v>
      </c>
      <c r="H9" s="2" t="n"/>
      <c r="I9" s="2" t="n"/>
      <c r="J9" s="83" t="n">
        <v>105000</v>
      </c>
      <c r="K9" s="2" t="n">
        <v>87500</v>
      </c>
      <c r="L9" s="2" t="n"/>
      <c r="M9" s="83" t="n">
        <v>88500</v>
      </c>
      <c r="N9" s="2" t="n"/>
      <c r="O9" s="2" t="n"/>
      <c r="P9" s="6" t="n">
        <v>0</v>
      </c>
      <c r="Q9" s="2" t="n"/>
      <c r="R9" s="2" t="n"/>
      <c r="S9" s="6" t="n">
        <v>0</v>
      </c>
      <c r="T9" s="2" t="n"/>
      <c r="U9" s="2" t="n"/>
      <c r="V9" s="6" t="n">
        <v>0</v>
      </c>
      <c r="W9" s="2" t="n"/>
      <c r="X9" s="2" t="n"/>
      <c r="Y9" s="6" t="n">
        <v>0</v>
      </c>
      <c r="Z9" s="2" t="n"/>
      <c r="AA9" s="2" t="n"/>
      <c r="AB9" s="6" t="n">
        <v>0</v>
      </c>
      <c r="AC9" s="2" t="n"/>
      <c r="AD9" s="2" t="n"/>
      <c r="AE9" s="6" t="n">
        <v>0</v>
      </c>
      <c r="AF9" s="2" t="n"/>
      <c r="AG9" s="2" t="n"/>
      <c r="AH9" s="6" t="n">
        <v>0</v>
      </c>
      <c r="AI9" s="2" t="n"/>
      <c r="AJ9" s="2" t="n"/>
      <c r="AK9" s="6" t="n">
        <v>0</v>
      </c>
      <c r="AL9" s="2" t="n"/>
      <c r="AM9" s="2" t="n"/>
      <c r="AN9" s="6" t="n">
        <v>0</v>
      </c>
      <c r="AO9" s="2" t="n"/>
      <c r="AP9" s="2" t="n"/>
      <c r="AQ9" s="6" t="n">
        <v>0</v>
      </c>
      <c r="AR9" s="2" t="n"/>
      <c r="AS9" s="2" t="n"/>
      <c r="AT9" s="6" t="n">
        <v>0</v>
      </c>
      <c r="AU9" s="2" t="n"/>
      <c r="AV9" s="2" t="n"/>
      <c r="AW9" s="6" t="n">
        <v>0</v>
      </c>
      <c r="AX9" s="2" t="n"/>
      <c r="AY9" s="2" t="n"/>
      <c r="AZ9" s="6" t="n">
        <v>0</v>
      </c>
      <c r="BA9" s="2" t="n"/>
      <c r="BB9" s="2" t="n"/>
      <c r="BC9" s="6" t="n">
        <v>0</v>
      </c>
      <c r="BD9" s="2" t="n"/>
      <c r="BE9" s="2" t="n"/>
      <c r="BF9" s="6" t="n">
        <v>0</v>
      </c>
      <c r="BG9" s="2" t="n"/>
      <c r="BH9" s="2" t="n"/>
      <c r="BI9" s="6" t="n">
        <v>0</v>
      </c>
      <c r="BJ9" s="2" t="n"/>
      <c r="BK9" s="2" t="n"/>
      <c r="BL9" s="6" t="n">
        <v>0</v>
      </c>
      <c r="BM9" s="2" t="n"/>
      <c r="BN9" s="2" t="n"/>
      <c r="BO9" s="6" t="n">
        <v>0</v>
      </c>
      <c r="BP9" s="2" t="n"/>
      <c r="BQ9" s="2" t="n"/>
      <c r="BR9" s="6" t="n">
        <v>0</v>
      </c>
      <c r="BS9" s="2" t="n"/>
      <c r="BT9" s="2" t="n"/>
      <c r="BU9" s="6" t="n">
        <v>21</v>
      </c>
      <c r="BV9" s="2" t="n"/>
      <c r="BW9" s="2" t="n"/>
      <c r="BX9" s="6" t="n">
        <v>22</v>
      </c>
      <c r="BY9" s="2" t="n"/>
      <c r="BZ9" s="2" t="n"/>
      <c r="CA9" s="6" t="n">
        <v>23</v>
      </c>
    </row>
    <row r="10" ht="15" customHeight="1">
      <c r="C10" s="30" t="inlineStr">
        <is>
          <t>Тепло тариф</t>
        </is>
      </c>
      <c r="D10" s="28" t="n"/>
      <c r="E10" s="2" t="n"/>
      <c r="F10" s="73" t="n"/>
      <c r="G10" s="8">
        <f>G9/$B3</f>
        <v/>
      </c>
      <c r="H10" s="2" t="n"/>
      <c r="I10" s="73" t="n"/>
      <c r="J10" s="8">
        <f>J9/$B3</f>
        <v/>
      </c>
      <c r="K10" s="2" t="n"/>
      <c r="L10" s="73" t="n"/>
      <c r="M10" s="8">
        <f>M9/$B3</f>
        <v/>
      </c>
      <c r="N10" s="2" t="n"/>
      <c r="O10" s="73" t="n"/>
      <c r="P10" s="8">
        <f>P9/$B3</f>
        <v/>
      </c>
      <c r="Q10" s="2" t="n"/>
      <c r="R10" s="73" t="n"/>
      <c r="S10" s="8">
        <f>S9/$B3</f>
        <v/>
      </c>
      <c r="T10" s="2" t="n"/>
      <c r="U10" s="73" t="n"/>
      <c r="V10" s="8">
        <f>V9/$B3</f>
        <v/>
      </c>
      <c r="W10" s="2" t="n"/>
      <c r="X10" s="73" t="n"/>
      <c r="Y10" s="8">
        <f>Y9/$B3</f>
        <v/>
      </c>
      <c r="Z10" s="2" t="n"/>
      <c r="AA10" s="73" t="n"/>
      <c r="AB10" s="8">
        <f>AB9/$B3</f>
        <v/>
      </c>
      <c r="AC10" s="2" t="n"/>
      <c r="AD10" s="73" t="n"/>
      <c r="AE10" s="8">
        <f>AE9/$B3</f>
        <v/>
      </c>
      <c r="AF10" s="2" t="n"/>
      <c r="AG10" s="73" t="n"/>
      <c r="AH10" s="8">
        <f>AH9/$B3</f>
        <v/>
      </c>
      <c r="AI10" s="2" t="n"/>
      <c r="AJ10" s="73" t="n"/>
      <c r="AK10" s="8">
        <f>AK9/$B3</f>
        <v/>
      </c>
      <c r="AL10" s="2" t="n"/>
      <c r="AM10" s="73" t="n"/>
      <c r="AN10" s="8">
        <f>AN9/$B3</f>
        <v/>
      </c>
      <c r="AO10" s="2" t="n"/>
      <c r="AP10" s="73" t="n"/>
      <c r="AQ10" s="8">
        <f>AQ9/$B3</f>
        <v/>
      </c>
      <c r="AR10" s="2" t="n"/>
      <c r="AS10" s="73" t="n"/>
      <c r="AT10" s="8">
        <f>AT9/$B3</f>
        <v/>
      </c>
      <c r="AU10" s="2" t="n"/>
      <c r="AV10" s="73" t="n"/>
      <c r="AW10" s="8">
        <f>AW9/$B3</f>
        <v/>
      </c>
      <c r="AX10" s="2" t="n"/>
      <c r="AY10" s="73" t="n"/>
      <c r="AZ10" s="8">
        <f>AZ9/$B3</f>
        <v/>
      </c>
      <c r="BA10" s="2" t="n"/>
      <c r="BB10" s="73" t="n"/>
      <c r="BC10" s="8">
        <f>BC9/$B3</f>
        <v/>
      </c>
      <c r="BD10" s="2" t="n"/>
      <c r="BE10" s="73" t="n"/>
      <c r="BF10" s="8">
        <f>BF9/$B3</f>
        <v/>
      </c>
      <c r="BG10" s="2" t="n"/>
      <c r="BH10" s="73" t="n"/>
      <c r="BI10" s="8">
        <f>BI9/$B3</f>
        <v/>
      </c>
      <c r="BJ10" s="2" t="n"/>
      <c r="BK10" s="73" t="n"/>
      <c r="BL10" s="8">
        <f>BL9/$B3</f>
        <v/>
      </c>
      <c r="BM10" s="2" t="n"/>
      <c r="BN10" s="73" t="n"/>
      <c r="BO10" s="8">
        <f>BO9/$B3</f>
        <v/>
      </c>
      <c r="BP10" s="2" t="n"/>
      <c r="BQ10" s="73" t="n"/>
      <c r="BR10" s="8">
        <f>BR9/$B3</f>
        <v/>
      </c>
      <c r="BS10" s="2" t="n"/>
      <c r="BT10" s="73" t="n"/>
      <c r="BU10" s="8">
        <f>BU9/$B3</f>
        <v/>
      </c>
      <c r="BV10" s="2" t="n"/>
      <c r="BW10" s="73" t="n"/>
      <c r="BX10" s="8">
        <f>BX9/$B3</f>
        <v/>
      </c>
      <c r="BY10" s="2" t="n"/>
      <c r="BZ10" s="73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1" t="n"/>
      <c r="G11" s="6" t="n">
        <v>70000</v>
      </c>
      <c r="H11" s="2" t="n"/>
      <c r="I11" s="73" t="n"/>
      <c r="J11" s="6" t="n">
        <v>85000</v>
      </c>
      <c r="K11" s="2" t="n"/>
      <c r="L11" s="73" t="n"/>
      <c r="M11" s="6" t="n">
        <v>80000</v>
      </c>
      <c r="N11" s="2" t="n"/>
      <c r="O11" s="73" t="n"/>
      <c r="P11" s="6" t="n">
        <v>0</v>
      </c>
      <c r="Q11" s="2" t="n"/>
      <c r="R11" s="73" t="n"/>
      <c r="S11" s="6" t="n">
        <v>0</v>
      </c>
      <c r="T11" s="2" t="n"/>
      <c r="U11" s="73" t="n"/>
      <c r="V11" s="6" t="n">
        <v>0</v>
      </c>
      <c r="W11" s="2" t="n"/>
      <c r="X11" s="73" t="n"/>
      <c r="Y11" s="6" t="n">
        <v>0</v>
      </c>
      <c r="Z11" s="2" t="n"/>
      <c r="AA11" s="73" t="n"/>
      <c r="AB11" s="6" t="n">
        <v>0</v>
      </c>
      <c r="AC11" s="2" t="n"/>
      <c r="AD11" s="73" t="n"/>
      <c r="AE11" s="6" t="n">
        <v>0</v>
      </c>
      <c r="AF11" s="2" t="n"/>
      <c r="AG11" s="73" t="n"/>
      <c r="AH11" s="6" t="n">
        <v>0</v>
      </c>
      <c r="AI11" s="2" t="n"/>
      <c r="AJ11" s="73" t="n"/>
      <c r="AK11" s="6" t="n">
        <v>0</v>
      </c>
      <c r="AL11" s="2" t="n"/>
      <c r="AM11" s="73" t="n"/>
      <c r="AN11" s="6" t="n">
        <v>0</v>
      </c>
      <c r="AO11" s="2" t="n"/>
      <c r="AP11" s="73" t="n"/>
      <c r="AQ11" s="6" t="n">
        <v>0</v>
      </c>
      <c r="AR11" s="2" t="n"/>
      <c r="AS11" s="73" t="n"/>
      <c r="AT11" s="6" t="n">
        <v>0</v>
      </c>
      <c r="AU11" s="2" t="n"/>
      <c r="AV11" s="73" t="n"/>
      <c r="AW11" s="6" t="n">
        <v>0</v>
      </c>
      <c r="AX11" s="2" t="n"/>
      <c r="AY11" s="73" t="n"/>
      <c r="AZ11" s="6" t="n">
        <v>0</v>
      </c>
      <c r="BA11" s="2" t="n"/>
      <c r="BB11" s="73" t="n"/>
      <c r="BC11" s="6" t="n">
        <v>0</v>
      </c>
      <c r="BD11" s="2" t="n"/>
      <c r="BE11" s="73" t="n"/>
      <c r="BF11" s="6" t="n">
        <v>0</v>
      </c>
      <c r="BG11" s="2" t="n"/>
      <c r="BH11" s="73" t="n"/>
      <c r="BI11" s="6" t="n">
        <v>0</v>
      </c>
      <c r="BJ11" s="2" t="n"/>
      <c r="BK11" s="73" t="n"/>
      <c r="BL11" s="6" t="n">
        <v>0</v>
      </c>
      <c r="BM11" s="2" t="n"/>
      <c r="BN11" s="73" t="n"/>
      <c r="BO11" s="6" t="n">
        <v>0</v>
      </c>
      <c r="BP11" s="2" t="n"/>
      <c r="BQ11" s="73" t="n"/>
      <c r="BR11" s="6" t="n">
        <v>0</v>
      </c>
      <c r="BS11" s="2" t="n"/>
      <c r="BT11" s="73" t="n"/>
      <c r="BU11" s="6" t="n">
        <v>21</v>
      </c>
      <c r="BV11" s="2" t="n"/>
      <c r="BW11" s="73" t="n"/>
      <c r="BX11" s="6" t="n">
        <v>22</v>
      </c>
      <c r="BY11" s="2" t="n"/>
      <c r="BZ11" s="73" t="n"/>
      <c r="CA11" s="6" t="n">
        <v>23</v>
      </c>
    </row>
    <row r="12">
      <c r="C12" s="31" t="inlineStr">
        <is>
          <t>Экспл. Услуги от УК тариф</t>
        </is>
      </c>
      <c r="D12" s="28" t="n"/>
      <c r="E12" s="2" t="n"/>
      <c r="F12" s="73" t="n"/>
      <c r="G12" s="8">
        <f>J11/$B3</f>
        <v/>
      </c>
      <c r="H12" s="2" t="n"/>
      <c r="I12" s="73" t="n"/>
      <c r="J12" s="8">
        <f>J11/$B3</f>
        <v/>
      </c>
      <c r="K12" s="2" t="n"/>
      <c r="L12" s="73" t="n"/>
      <c r="M12" s="8">
        <f>M11/$B3</f>
        <v/>
      </c>
      <c r="N12" s="2" t="n"/>
      <c r="O12" s="73" t="n"/>
      <c r="P12" s="8">
        <f>P11/$B3</f>
        <v/>
      </c>
      <c r="Q12" s="2" t="n"/>
      <c r="R12" s="73" t="n"/>
      <c r="S12" s="8">
        <f>S11/$B3</f>
        <v/>
      </c>
      <c r="T12" s="2" t="n"/>
      <c r="U12" s="73" t="n"/>
      <c r="V12" s="8">
        <f>V11/$B3</f>
        <v/>
      </c>
      <c r="W12" s="2" t="n"/>
      <c r="X12" s="73" t="n"/>
      <c r="Y12" s="8">
        <f>Y11/$B3</f>
        <v/>
      </c>
      <c r="Z12" s="2" t="n"/>
      <c r="AA12" s="73" t="n"/>
      <c r="AB12" s="8">
        <f>AB11/$B3</f>
        <v/>
      </c>
      <c r="AC12" s="2" t="n"/>
      <c r="AD12" s="73" t="n"/>
      <c r="AE12" s="8">
        <f>AE11/$B3</f>
        <v/>
      </c>
      <c r="AF12" s="2" t="n"/>
      <c r="AG12" s="73" t="n"/>
      <c r="AH12" s="8">
        <f>AH11/$B3</f>
        <v/>
      </c>
      <c r="AI12" s="2" t="n"/>
      <c r="AJ12" s="73" t="n"/>
      <c r="AK12" s="8">
        <f>AK11/$B3</f>
        <v/>
      </c>
      <c r="AL12" s="2" t="n"/>
      <c r="AM12" s="73" t="n"/>
      <c r="AN12" s="8">
        <f>AN11/$B3</f>
        <v/>
      </c>
      <c r="AO12" s="2" t="n"/>
      <c r="AP12" s="73" t="n"/>
      <c r="AQ12" s="8">
        <f>AQ11/$B3</f>
        <v/>
      </c>
      <c r="AR12" s="2" t="n"/>
      <c r="AS12" s="73" t="n"/>
      <c r="AT12" s="8">
        <f>AT11/$B3</f>
        <v/>
      </c>
      <c r="AU12" s="2" t="n"/>
      <c r="AV12" s="73" t="n"/>
      <c r="AW12" s="8">
        <f>AW11/$B3</f>
        <v/>
      </c>
      <c r="AX12" s="2" t="n"/>
      <c r="AY12" s="73" t="n"/>
      <c r="AZ12" s="8">
        <f>AZ11/$B3</f>
        <v/>
      </c>
      <c r="BA12" s="2" t="n"/>
      <c r="BB12" s="73" t="n"/>
      <c r="BC12" s="8">
        <f>BC11/$B3</f>
        <v/>
      </c>
      <c r="BD12" s="2" t="n"/>
      <c r="BE12" s="73" t="n"/>
      <c r="BF12" s="8">
        <f>BF11/$B3</f>
        <v/>
      </c>
      <c r="BG12" s="2" t="n"/>
      <c r="BH12" s="73" t="n"/>
      <c r="BI12" s="8">
        <f>BI11/$B3</f>
        <v/>
      </c>
      <c r="BJ12" s="2" t="n"/>
      <c r="BK12" s="73" t="n"/>
      <c r="BL12" s="8">
        <f>BL11/$B3</f>
        <v/>
      </c>
      <c r="BM12" s="2" t="n"/>
      <c r="BN12" s="73" t="n"/>
      <c r="BO12" s="8">
        <f>BO11/$B3</f>
        <v/>
      </c>
      <c r="BP12" s="2" t="n"/>
      <c r="BQ12" s="73" t="n"/>
      <c r="BR12" s="8">
        <f>BR11/$B3</f>
        <v/>
      </c>
      <c r="BS12" s="2" t="n"/>
      <c r="BT12" s="73" t="n"/>
      <c r="BU12" s="8">
        <f>BU11/$B3</f>
        <v/>
      </c>
      <c r="BV12" s="2" t="n"/>
      <c r="BW12" s="73" t="n"/>
      <c r="BX12" s="8">
        <f>BX11/$B3</f>
        <v/>
      </c>
      <c r="BY12" s="2" t="n"/>
      <c r="BZ12" s="73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6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G9" sqref="G9"/>
    </sheetView>
  </sheetViews>
  <sheetFormatPr baseColWidth="10" defaultColWidth="10" defaultRowHeight="15"/>
  <cols>
    <col width="14" bestFit="1" customWidth="1" min="1" max="1"/>
    <col width="12.6640625" bestFit="1" customWidth="1" min="2" max="2"/>
    <col width="24.1640625" bestFit="1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Реестр!B2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4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M14" sqref="M14"/>
    </sheetView>
  </sheetViews>
  <sheetFormatPr baseColWidth="10" defaultColWidth="10" defaultRowHeight="15"/>
  <cols>
    <col width="13.1640625" bestFit="1" customWidth="1" min="1" max="1"/>
    <col width="25.33203125" customWidth="1" min="2" max="2"/>
    <col width="25.5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Реестр!B3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6" customHeight="1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6" customHeight="1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G10*$B4</f>
        <v/>
      </c>
      <c r="H9" s="21" t="n"/>
      <c r="I9" s="22">
        <f>H9-E9</f>
        <v/>
      </c>
      <c r="J9" s="23" t="n">
        <v>18417</v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B11" t="inlineStr">
        <is>
          <t xml:space="preserve"> 43432,34343, 123232, 999112, 112121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 t="n"/>
      <c r="J11" s="23">
        <f>'0. ГИРА'!J12</f>
        <v/>
      </c>
      <c r="K11" s="21" t="n"/>
      <c r="L11" s="22" t="n"/>
      <c r="M11" s="23">
        <f>'0. ГИРА'!M12</f>
        <v/>
      </c>
      <c r="N11" s="21" t="n"/>
      <c r="O11" s="22" t="n"/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16" sqref="I16"/>
    </sheetView>
  </sheetViews>
  <sheetFormatPr baseColWidth="10" defaultColWidth="10" defaultRowHeight="15"/>
  <cols>
    <col width="13.1640625" bestFit="1" customWidth="1" min="1" max="1"/>
    <col width="18.33203125" customWidth="1" min="2" max="2"/>
    <col width="25.5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Реестр!B4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6" customHeight="1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6" customHeight="1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H16" sqref="H16"/>
    </sheetView>
  </sheetViews>
  <sheetFormatPr baseColWidth="10" defaultColWidth="10" defaultRowHeight="15"/>
  <cols>
    <col width="13.1640625" bestFit="1" customWidth="1" min="1" max="1"/>
    <col width="17.6640625" customWidth="1" min="2" max="2"/>
    <col width="25.5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Реестр!B5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6" customHeight="1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6" customHeight="1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J20" sqref="J20"/>
    </sheetView>
  </sheetViews>
  <sheetFormatPr baseColWidth="10" defaultColWidth="10" defaultRowHeight="15"/>
  <cols>
    <col width="13.1640625" bestFit="1" customWidth="1" min="1" max="1"/>
    <col width="21.1640625" customWidth="1" min="2" max="2"/>
    <col width="25.5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Реестр!B6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6" customHeight="1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6" customHeight="1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7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BZ14" sqref="BZ14"/>
    </sheetView>
  </sheetViews>
  <sheetFormatPr baseColWidth="10" defaultColWidth="10" defaultRowHeight="15"/>
  <cols>
    <col width="13.1640625" bestFit="1" customWidth="1" min="1" max="1"/>
    <col width="20.5" bestFit="1" customWidth="1" min="2" max="2"/>
    <col width="25.5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Реестр!B7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6" customHeight="1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6" customFormat="1" customHeigh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7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F21" sqref="F21"/>
    </sheetView>
  </sheetViews>
  <sheetFormatPr baseColWidth="10" defaultColWidth="11.5" defaultRowHeight="15"/>
  <cols>
    <col width="14.83203125" customWidth="1" min="1" max="1"/>
    <col width="16.5" customWidth="1" min="2" max="2"/>
    <col width="25.5" customWidth="1" style="1" min="3" max="3"/>
    <col width="7.5" bestFit="1" customWidth="1" min="4" max="4"/>
    <col width="11.33203125" customWidth="1" min="5" max="5"/>
    <col width="9.83203125" bestFit="1" customWidth="1" style="1" min="6" max="6"/>
    <col width="13.1640625" customWidth="1" style="1" min="7" max="7"/>
    <col width="12.5" customWidth="1" min="8" max="8"/>
    <col width="9.83203125" bestFit="1" customWidth="1" style="1" min="9" max="9"/>
    <col width="13.6640625" customWidth="1" style="1" min="10" max="10"/>
    <col width="7.83203125" bestFit="1" customWidth="1" min="11" max="11"/>
    <col width="9.83203125" bestFit="1" customWidth="1" style="1" min="12" max="12"/>
    <col width="16.1640625" customWidth="1" style="1" min="13" max="13"/>
    <col width="7.5" bestFit="1" customWidth="1" min="14" max="14"/>
    <col width="9.83203125" bestFit="1" customWidth="1" style="1" min="15" max="15"/>
    <col width="8.33203125" bestFit="1" customWidth="1" style="1" min="16" max="16"/>
    <col width="6.5" bestFit="1" customWidth="1" min="17" max="17"/>
    <col width="9.83203125" bestFit="1" customWidth="1" style="1" min="18" max="18"/>
    <col width="8.33203125" bestFit="1" customWidth="1" style="1" min="19" max="19"/>
    <col width="7" bestFit="1" customWidth="1" min="20" max="20"/>
    <col width="9.83203125" bestFit="1" customWidth="1" style="1" min="21" max="21"/>
    <col width="8.33203125" bestFit="1" customWidth="1" style="1" min="22" max="22"/>
    <col width="8" bestFit="1" customWidth="1" min="23" max="23"/>
    <col width="9.83203125" bestFit="1" customWidth="1" style="1" min="24" max="24"/>
    <col width="8.33203125" bestFit="1" customWidth="1" style="1" min="25" max="25"/>
    <col width="8" bestFit="1" customWidth="1" min="26" max="26"/>
    <col width="9.83203125" bestFit="1" customWidth="1" style="1" min="27" max="27"/>
    <col width="8.33203125" bestFit="1" customWidth="1" style="1" min="28" max="28"/>
    <col width="6.1640625" bestFit="1" customWidth="1" min="29" max="29"/>
    <col width="9.83203125" bestFit="1" customWidth="1" style="1" min="30" max="30"/>
    <col width="8.33203125" bestFit="1" customWidth="1" style="1" min="31" max="31"/>
    <col width="7.1640625" bestFit="1" customWidth="1" min="32" max="32"/>
    <col width="9.83203125" bestFit="1" customWidth="1" style="1" min="33" max="33"/>
    <col width="8.33203125" bestFit="1" customWidth="1" style="1" min="34" max="34"/>
    <col width="6.33203125" bestFit="1" customWidth="1" min="35" max="35"/>
    <col width="9.83203125" bestFit="1" customWidth="1" style="1" min="36" max="36"/>
    <col width="8.33203125" bestFit="1" customWidth="1" style="1" min="37" max="37"/>
    <col width="7.5" bestFit="1" customWidth="1" min="38" max="38"/>
    <col width="9.83203125" bestFit="1" customWidth="1" style="1" min="39" max="39"/>
    <col width="8.33203125" bestFit="1" customWidth="1" style="1" min="40" max="40"/>
    <col width="6.5" bestFit="1" customWidth="1" min="41" max="41"/>
    <col width="9.83203125" bestFit="1" customWidth="1" style="1" min="42" max="42"/>
    <col width="8.33203125" bestFit="1" customWidth="1" style="1" min="43" max="43"/>
    <col width="6.5" bestFit="1" customWidth="1" min="44" max="44"/>
    <col width="9.83203125" bestFit="1" customWidth="1" style="1" min="45" max="45"/>
    <col width="8.33203125" bestFit="1" customWidth="1" style="1" min="46" max="46"/>
    <col width="7.83203125" bestFit="1" customWidth="1" min="47" max="47"/>
    <col width="9.83203125" bestFit="1" customWidth="1" min="48" max="48"/>
    <col width="8.33203125" bestFit="1" customWidth="1" min="49" max="49"/>
    <col width="7.5" bestFit="1" customWidth="1" min="50" max="50"/>
    <col width="9.83203125" bestFit="1" customWidth="1" min="51" max="51"/>
    <col width="8.33203125" bestFit="1" customWidth="1" min="52" max="52"/>
    <col width="6.5" bestFit="1" customWidth="1" min="53" max="53"/>
    <col width="9.83203125" bestFit="1" customWidth="1" min="54" max="54"/>
    <col width="8.33203125" bestFit="1" customWidth="1" min="55" max="55"/>
    <col width="7" bestFit="1" customWidth="1" min="56" max="56"/>
    <col width="9.83203125" bestFit="1" customWidth="1" min="57" max="57"/>
    <col width="8.33203125" bestFit="1" customWidth="1" min="58" max="58"/>
    <col width="8" bestFit="1" customWidth="1" min="59" max="59"/>
    <col width="9.83203125" bestFit="1" customWidth="1" min="60" max="60"/>
    <col width="8.33203125" bestFit="1" customWidth="1" min="61" max="61"/>
    <col width="8" bestFit="1" customWidth="1" min="62" max="62"/>
    <col width="9.83203125" bestFit="1" customWidth="1" min="63" max="63"/>
    <col width="8.33203125" bestFit="1" customWidth="1" min="64" max="64"/>
    <col width="6.1640625" bestFit="1" customWidth="1" min="65" max="65"/>
    <col width="9.83203125" bestFit="1" customWidth="1" min="66" max="66"/>
    <col width="8.33203125" bestFit="1" customWidth="1" min="67" max="67"/>
    <col width="7.1640625" bestFit="1" customWidth="1" min="68" max="68"/>
    <col width="9.83203125" bestFit="1" customWidth="1" min="69" max="69"/>
    <col width="8.33203125" bestFit="1" customWidth="1" min="70" max="70"/>
    <col width="6.33203125" bestFit="1" customWidth="1" min="71" max="71"/>
    <col width="9.83203125" bestFit="1" customWidth="1" min="72" max="72"/>
    <col width="8.33203125" bestFit="1" customWidth="1" min="73" max="73"/>
    <col width="7.5" bestFit="1" customWidth="1" min="74" max="74"/>
    <col width="9.83203125" bestFit="1" customWidth="1" min="75" max="75"/>
    <col width="8.33203125" bestFit="1" customWidth="1" min="76" max="76"/>
    <col width="6.5" bestFit="1" customWidth="1" min="77" max="77"/>
    <col width="9.83203125" bestFit="1" customWidth="1" min="78" max="78"/>
    <col width="8.33203125" bestFit="1" customWidth="1" min="79" max="79"/>
    <col width="6.5" bestFit="1" customWidth="1" min="80" max="80"/>
    <col width="9.83203125" bestFit="1" customWidth="1" min="81" max="81"/>
    <col width="6.5" bestFit="1" customWidth="1" min="82" max="82"/>
  </cols>
  <sheetData>
    <row r="1">
      <c r="A1" s="33" t="inlineStr">
        <is>
          <t>ИНН</t>
        </is>
      </c>
      <c r="B1" s="33">
        <f>Реестр!D8</f>
        <v/>
      </c>
      <c r="C1" s="18" t="inlineStr">
        <is>
          <t>Месяц</t>
        </is>
      </c>
      <c r="D1" s="19" t="n">
        <v>45962</v>
      </c>
      <c r="E1" s="19" t="n">
        <v>45992</v>
      </c>
      <c r="F1" s="75" t="inlineStr">
        <is>
          <t>Потребл.</t>
        </is>
      </c>
      <c r="G1" s="76" t="n">
        <v>45962</v>
      </c>
      <c r="H1" s="19" t="n">
        <v>46023</v>
      </c>
      <c r="I1" s="75" t="inlineStr">
        <is>
          <t>Потребл.</t>
        </is>
      </c>
      <c r="J1" s="76" t="n">
        <v>45992</v>
      </c>
      <c r="K1" s="19" t="n">
        <v>46054</v>
      </c>
      <c r="L1" s="75" t="inlineStr">
        <is>
          <t>Потребл.</t>
        </is>
      </c>
      <c r="M1" s="76" t="n">
        <v>46023</v>
      </c>
      <c r="N1" s="19" t="n">
        <v>46082</v>
      </c>
      <c r="O1" s="75" t="inlineStr">
        <is>
          <t>Потребл.</t>
        </is>
      </c>
      <c r="P1" s="76" t="n">
        <v>46054</v>
      </c>
      <c r="Q1" s="19" t="n">
        <v>46113</v>
      </c>
      <c r="R1" s="75" t="inlineStr">
        <is>
          <t>Потребл.</t>
        </is>
      </c>
      <c r="S1" s="76" t="n">
        <v>46082</v>
      </c>
      <c r="T1" s="19" t="n">
        <v>46143</v>
      </c>
      <c r="U1" s="75" t="inlineStr">
        <is>
          <t>Потребл.</t>
        </is>
      </c>
      <c r="V1" s="76" t="n">
        <v>46113</v>
      </c>
      <c r="W1" s="19" t="n">
        <v>46174</v>
      </c>
      <c r="X1" s="75" t="inlineStr">
        <is>
          <t>Потребл.</t>
        </is>
      </c>
      <c r="Y1" s="76" t="n">
        <v>46143</v>
      </c>
      <c r="Z1" s="19" t="n">
        <v>46204</v>
      </c>
      <c r="AA1" s="75" t="inlineStr">
        <is>
          <t>Потребл.</t>
        </is>
      </c>
      <c r="AB1" s="76" t="n">
        <v>46174</v>
      </c>
      <c r="AC1" s="19" t="n">
        <v>46235</v>
      </c>
      <c r="AD1" s="75" t="inlineStr">
        <is>
          <t>Потребл.</t>
        </is>
      </c>
      <c r="AE1" s="76" t="n">
        <v>46204</v>
      </c>
      <c r="AF1" s="19" t="n">
        <v>46266</v>
      </c>
      <c r="AG1" s="75" t="inlineStr">
        <is>
          <t>Потребл.</t>
        </is>
      </c>
      <c r="AH1" s="76" t="n">
        <v>46235</v>
      </c>
      <c r="AI1" s="19" t="n">
        <v>46296</v>
      </c>
      <c r="AJ1" s="75" t="inlineStr">
        <is>
          <t>Потребл.</t>
        </is>
      </c>
      <c r="AK1" s="76" t="n">
        <v>46266</v>
      </c>
      <c r="AL1" s="19" t="n">
        <v>46327</v>
      </c>
      <c r="AM1" s="75" t="inlineStr">
        <is>
          <t>Потребл.</t>
        </is>
      </c>
      <c r="AN1" s="76" t="n">
        <v>46296</v>
      </c>
      <c r="AO1" s="19" t="n">
        <v>46357</v>
      </c>
      <c r="AP1" s="75" t="inlineStr">
        <is>
          <t>Потребл.</t>
        </is>
      </c>
      <c r="AQ1" s="76" t="n">
        <v>46327</v>
      </c>
      <c r="AR1" s="19" t="n">
        <v>46388</v>
      </c>
      <c r="AS1" s="75" t="inlineStr">
        <is>
          <t>Потребл.</t>
        </is>
      </c>
      <c r="AT1" s="76" t="n">
        <v>46357</v>
      </c>
      <c r="AU1" s="19" t="n">
        <v>46419</v>
      </c>
      <c r="AV1" s="75" t="inlineStr">
        <is>
          <t>Потребл.</t>
        </is>
      </c>
      <c r="AW1" s="76" t="n">
        <v>46388</v>
      </c>
      <c r="AX1" s="19" t="n">
        <v>46447</v>
      </c>
      <c r="AY1" s="75" t="inlineStr">
        <is>
          <t>Потребл.</t>
        </is>
      </c>
      <c r="AZ1" s="76" t="n">
        <v>46419</v>
      </c>
      <c r="BA1" s="19" t="n">
        <v>46478</v>
      </c>
      <c r="BB1" s="75" t="inlineStr">
        <is>
          <t>Потребл.</t>
        </is>
      </c>
      <c r="BC1" s="76" t="n">
        <v>46447</v>
      </c>
      <c r="BD1" s="19" t="n">
        <v>46508</v>
      </c>
      <c r="BE1" s="75" t="inlineStr">
        <is>
          <t>Потребл.</t>
        </is>
      </c>
      <c r="BF1" s="76" t="n">
        <v>46478</v>
      </c>
      <c r="BG1" s="19" t="n">
        <v>46539</v>
      </c>
      <c r="BH1" s="75" t="inlineStr">
        <is>
          <t>Потребл.</t>
        </is>
      </c>
      <c r="BI1" s="76" t="n">
        <v>46508</v>
      </c>
      <c r="BJ1" s="19" t="n">
        <v>46569</v>
      </c>
      <c r="BK1" s="75" t="inlineStr">
        <is>
          <t>Потребл.</t>
        </is>
      </c>
      <c r="BL1" s="76" t="n">
        <v>46539</v>
      </c>
      <c r="BM1" s="19" t="n">
        <v>46600</v>
      </c>
      <c r="BN1" s="75" t="inlineStr">
        <is>
          <t>Потребл.</t>
        </is>
      </c>
      <c r="BO1" s="76" t="n">
        <v>46569</v>
      </c>
      <c r="BP1" s="19" t="n">
        <v>46631</v>
      </c>
      <c r="BQ1" s="75" t="inlineStr">
        <is>
          <t>Потребл.</t>
        </is>
      </c>
      <c r="BR1" s="76" t="n">
        <v>46600</v>
      </c>
      <c r="BS1" s="19" t="n">
        <v>46661</v>
      </c>
      <c r="BT1" s="75" t="inlineStr">
        <is>
          <t>Потребл.</t>
        </is>
      </c>
      <c r="BU1" s="76" t="n">
        <v>46631</v>
      </c>
      <c r="BV1" s="19" t="n">
        <v>46692</v>
      </c>
      <c r="BW1" s="75" t="inlineStr">
        <is>
          <t>Потребл.</t>
        </is>
      </c>
      <c r="BX1" s="76" t="n">
        <v>46661</v>
      </c>
      <c r="BY1" s="19" t="n">
        <v>46722</v>
      </c>
      <c r="BZ1" s="75" t="inlineStr">
        <is>
          <t>Потребл.</t>
        </is>
      </c>
      <c r="CA1" s="76" t="n">
        <v>46692</v>
      </c>
      <c r="CB1" s="19" t="n">
        <v>46753</v>
      </c>
      <c r="CC1" s="75" t="inlineStr">
        <is>
          <t>Потребл.</t>
        </is>
      </c>
      <c r="CD1" s="76" t="n">
        <v>46722</v>
      </c>
    </row>
    <row r="2">
      <c r="A2" s="33" t="inlineStr">
        <is>
          <t>Кадастр</t>
        </is>
      </c>
      <c r="B2" s="33">
        <f>Реестр!B8</f>
        <v/>
      </c>
      <c r="C2" s="75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6" customHeight="1">
      <c r="A3" s="33" t="inlineStr">
        <is>
          <t>Арендатор</t>
        </is>
      </c>
      <c r="B3" s="34">
        <f>Реестр!F8</f>
        <v/>
      </c>
      <c r="C3" s="20" t="inlineStr">
        <is>
          <t>Электричество</t>
        </is>
      </c>
      <c r="D3" s="21" t="n">
        <v>245380</v>
      </c>
      <c r="E3" s="21" t="n">
        <v>245590</v>
      </c>
      <c r="F3" s="22">
        <f>E3-D3</f>
        <v/>
      </c>
      <c r="G3" s="23">
        <f>F3*G4</f>
        <v/>
      </c>
      <c r="H3" s="21" t="n">
        <v>245835</v>
      </c>
      <c r="I3" s="22">
        <f>H3-E3</f>
        <v/>
      </c>
      <c r="J3" s="23">
        <f>I3*J4</f>
        <v/>
      </c>
      <c r="K3" s="21" t="n">
        <v>246105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6" customHeight="1">
      <c r="A4" s="33" t="inlineStr">
        <is>
          <t>Площадь</t>
        </is>
      </c>
      <c r="B4" s="34">
        <f>Реестр!H8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>
        <v>32450</v>
      </c>
      <c r="E5" s="21" t="n">
        <v>32455</v>
      </c>
      <c r="F5" s="22">
        <f>E5-D5</f>
        <v/>
      </c>
      <c r="G5" s="23" t="n"/>
      <c r="H5" s="21" t="n">
        <v>32461</v>
      </c>
      <c r="I5" s="22">
        <f>H5-E5</f>
        <v/>
      </c>
      <c r="J5" s="23">
        <f>I5*J6</f>
        <v/>
      </c>
      <c r="K5" s="21" t="n">
        <v>32466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23" customHeight="1">
      <c r="A6" s="37" t="inlineStr">
        <is>
          <t>Имя 1</t>
        </is>
      </c>
      <c r="B6" s="34">
        <f>Реестр!M8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6" customHeight="1">
      <c r="A7" s="38" t="inlineStr">
        <is>
          <t>Контакт 1</t>
        </is>
      </c>
      <c r="B7" s="33">
        <f>Реестр!N8</f>
        <v/>
      </c>
      <c r="C7" s="30" t="inlineStr">
        <is>
          <t>Водоканал горячая вода</t>
        </is>
      </c>
      <c r="D7" s="68" t="n">
        <v>17820</v>
      </c>
      <c r="E7" s="68" t="n">
        <v>17823</v>
      </c>
      <c r="F7" s="69">
        <f>E7-D7</f>
        <v/>
      </c>
      <c r="G7" s="70">
        <f>G8*F7</f>
        <v/>
      </c>
      <c r="H7" s="68" t="n">
        <v>17827</v>
      </c>
      <c r="I7" s="22">
        <f>H7-E7</f>
        <v/>
      </c>
      <c r="J7" s="70">
        <f>J8*I7</f>
        <v/>
      </c>
      <c r="K7" s="68" t="n">
        <v>17831</v>
      </c>
      <c r="L7" s="22">
        <f>K7-H7</f>
        <v/>
      </c>
      <c r="M7" s="70">
        <f>M8*L7</f>
        <v/>
      </c>
      <c r="N7" s="68" t="n"/>
      <c r="O7" s="22">
        <f>N7-K7</f>
        <v/>
      </c>
      <c r="P7" s="70">
        <f>P8*O7</f>
        <v/>
      </c>
      <c r="Q7" s="68" t="n"/>
      <c r="R7" s="22">
        <f>Q7-N7</f>
        <v/>
      </c>
      <c r="S7" s="70">
        <f>S8*R7</f>
        <v/>
      </c>
      <c r="T7" s="68" t="n"/>
      <c r="U7" s="22">
        <f>T7-Q7</f>
        <v/>
      </c>
      <c r="V7" s="70">
        <f>V8*U7</f>
        <v/>
      </c>
      <c r="W7" s="68" t="n"/>
      <c r="X7" s="22">
        <f>W7-T7</f>
        <v/>
      </c>
      <c r="Y7" s="70">
        <f>Y8*X7</f>
        <v/>
      </c>
      <c r="Z7" s="68" t="n"/>
      <c r="AA7" s="22">
        <f>Z7-W7</f>
        <v/>
      </c>
      <c r="AB7" s="70">
        <f>AB8*AA7</f>
        <v/>
      </c>
      <c r="AC7" s="68" t="n"/>
      <c r="AD7" s="22">
        <f>AC7-Z7</f>
        <v/>
      </c>
      <c r="AE7" s="70">
        <f>AE8*AD7</f>
        <v/>
      </c>
      <c r="AF7" s="68" t="n"/>
      <c r="AG7" s="22">
        <f>AF7-AC7</f>
        <v/>
      </c>
      <c r="AH7" s="70">
        <f>AH8*AG7</f>
        <v/>
      </c>
      <c r="AI7" s="68" t="n"/>
      <c r="AJ7" s="22">
        <f>AI7-AF7</f>
        <v/>
      </c>
      <c r="AK7" s="70">
        <f>AK8*AJ7</f>
        <v/>
      </c>
      <c r="AL7" s="68" t="n"/>
      <c r="AM7" s="22">
        <f>AL7-AI7</f>
        <v/>
      </c>
      <c r="AN7" s="70">
        <f>AN8*AM7</f>
        <v/>
      </c>
      <c r="AO7" s="68" t="n"/>
      <c r="AP7" s="22">
        <f>AO7-AL7</f>
        <v/>
      </c>
      <c r="AQ7" s="70">
        <f>AQ8*AP7</f>
        <v/>
      </c>
      <c r="AR7" s="68" t="n"/>
      <c r="AS7" s="22">
        <f>AR7-AO7</f>
        <v/>
      </c>
      <c r="AT7" s="70">
        <f>AT8*AS7</f>
        <v/>
      </c>
      <c r="AU7" s="68" t="n"/>
      <c r="AV7" s="22">
        <f>AU7-AR7</f>
        <v/>
      </c>
      <c r="AW7" s="70">
        <f>AW8*AV7</f>
        <v/>
      </c>
      <c r="AX7" s="68" t="n"/>
      <c r="AY7" s="22">
        <f>AX7-AU7</f>
        <v/>
      </c>
      <c r="AZ7" s="70">
        <f>AZ8*AY7</f>
        <v/>
      </c>
      <c r="BA7" s="68" t="n"/>
      <c r="BB7" s="22">
        <f>BA7-AX7</f>
        <v/>
      </c>
      <c r="BC7" s="70">
        <f>BC8*BB7</f>
        <v/>
      </c>
      <c r="BD7" s="68" t="n"/>
      <c r="BE7" s="22">
        <f>BD7-BA7</f>
        <v/>
      </c>
      <c r="BF7" s="70">
        <f>BF8*BE7</f>
        <v/>
      </c>
      <c r="BG7" s="68" t="n"/>
      <c r="BH7" s="22">
        <f>BG7-BD7</f>
        <v/>
      </c>
      <c r="BI7" s="70">
        <f>BI8*BH7</f>
        <v/>
      </c>
      <c r="BJ7" s="68" t="n"/>
      <c r="BK7" s="22">
        <f>BJ7-BG7</f>
        <v/>
      </c>
      <c r="BL7" s="70">
        <f>BL8*BK7</f>
        <v/>
      </c>
      <c r="BM7" s="68" t="n"/>
      <c r="BN7" s="22">
        <f>BM7-BJ7</f>
        <v/>
      </c>
      <c r="BO7" s="70">
        <f>BO8*BN7</f>
        <v/>
      </c>
      <c r="BP7" s="68" t="n"/>
      <c r="BQ7" s="22">
        <f>BP7-BM7</f>
        <v/>
      </c>
      <c r="BR7" s="70">
        <f>BR8*BQ7</f>
        <v/>
      </c>
      <c r="BS7" s="68" t="n"/>
      <c r="BT7" s="22">
        <f>BS7-BP7</f>
        <v/>
      </c>
      <c r="BU7" s="70">
        <f>BU8*BT7</f>
        <v/>
      </c>
      <c r="BV7" s="68" t="n"/>
      <c r="BW7" s="22">
        <f>BV7-BS7</f>
        <v/>
      </c>
      <c r="BX7" s="70">
        <f>BX8*BW7</f>
        <v/>
      </c>
      <c r="BY7" s="68" t="n"/>
      <c r="BZ7" s="22">
        <f>BY7-BV7</f>
        <v/>
      </c>
      <c r="CA7" s="70">
        <f>CA8*BZ7</f>
        <v/>
      </c>
      <c r="CB7" s="68" t="n"/>
      <c r="CC7" s="22">
        <f>CB7-BY7</f>
        <v/>
      </c>
      <c r="CD7" s="70">
        <f>CD8*CC7</f>
        <v/>
      </c>
    </row>
    <row r="8" ht="16" customHeight="1">
      <c r="A8" s="37" t="inlineStr">
        <is>
          <t>Имя 2</t>
        </is>
      </c>
      <c r="B8" s="33">
        <f>Реестр!O8</f>
        <v/>
      </c>
      <c r="C8" s="30" t="inlineStr">
        <is>
          <t>Водоканал горячая Тариф</t>
        </is>
      </c>
      <c r="D8" s="71" t="n"/>
      <c r="E8" s="71" t="n"/>
      <c r="F8" s="71" t="n"/>
      <c r="G8" s="72">
        <f>'0. ГИРА'!G8</f>
        <v/>
      </c>
      <c r="H8" s="71" t="n"/>
      <c r="I8" s="71" t="n"/>
      <c r="J8" s="72">
        <f>'0. ГИРА'!J8</f>
        <v/>
      </c>
      <c r="K8" s="71" t="n"/>
      <c r="L8" s="71" t="n"/>
      <c r="M8" s="72">
        <f>'0. ГИРА'!M8</f>
        <v/>
      </c>
      <c r="N8" s="71" t="n"/>
      <c r="O8" s="71" t="n"/>
      <c r="P8" s="72">
        <f>'0. ГИРА'!P8</f>
        <v/>
      </c>
      <c r="Q8" s="71" t="n"/>
      <c r="R8" s="71" t="n"/>
      <c r="S8" s="72">
        <f>'0. ГИРА'!S8</f>
        <v/>
      </c>
      <c r="T8" s="71" t="n"/>
      <c r="U8" s="71" t="n"/>
      <c r="V8" s="72">
        <f>'0. ГИРА'!V8</f>
        <v/>
      </c>
      <c r="W8" s="71" t="n"/>
      <c r="X8" s="71" t="n"/>
      <c r="Y8" s="72">
        <f>'0. ГИРА'!Y8</f>
        <v/>
      </c>
      <c r="Z8" s="71" t="n"/>
      <c r="AA8" s="71" t="n"/>
      <c r="AB8" s="72">
        <f>'0. ГИРА'!AB8</f>
        <v/>
      </c>
      <c r="AC8" s="71" t="n"/>
      <c r="AD8" s="71" t="n"/>
      <c r="AE8" s="72">
        <f>'0. ГИРА'!AE8</f>
        <v/>
      </c>
      <c r="AF8" s="71" t="n"/>
      <c r="AG8" s="71" t="n"/>
      <c r="AH8" s="72">
        <f>'0. ГИРА'!AH8</f>
        <v/>
      </c>
      <c r="AI8" s="71" t="n"/>
      <c r="AJ8" s="71" t="n"/>
      <c r="AK8" s="72">
        <f>'0. ГИРА'!AK8</f>
        <v/>
      </c>
      <c r="AL8" s="71" t="n"/>
      <c r="AM8" s="71" t="n"/>
      <c r="AN8" s="72">
        <f>'0. ГИРА'!AN8</f>
        <v/>
      </c>
      <c r="AO8" s="71" t="n"/>
      <c r="AP8" s="71" t="n"/>
      <c r="AQ8" s="72">
        <f>'0. ГИРА'!AQ8</f>
        <v/>
      </c>
      <c r="AR8" s="71" t="n"/>
      <c r="AS8" s="71" t="n"/>
      <c r="AT8" s="72">
        <f>'0. ГИРА'!AT8</f>
        <v/>
      </c>
      <c r="AU8" s="71" t="n"/>
      <c r="AV8" s="71" t="n"/>
      <c r="AW8" s="72">
        <f>'0. ГИРА'!AW8</f>
        <v/>
      </c>
      <c r="AX8" s="71" t="n"/>
      <c r="AY8" s="71" t="n"/>
      <c r="AZ8" s="72">
        <f>'0. ГИРА'!AZ8</f>
        <v/>
      </c>
      <c r="BA8" s="71" t="n"/>
      <c r="BB8" s="71" t="n"/>
      <c r="BC8" s="72">
        <f>'0. ГИРА'!BC8</f>
        <v/>
      </c>
      <c r="BD8" s="71" t="n"/>
      <c r="BE8" s="71" t="n"/>
      <c r="BF8" s="72">
        <f>'0. ГИРА'!BF8</f>
        <v/>
      </c>
      <c r="BG8" s="71" t="n"/>
      <c r="BH8" s="71" t="n"/>
      <c r="BI8" s="72">
        <f>'0. ГИРА'!BI8</f>
        <v/>
      </c>
      <c r="BJ8" s="71" t="n"/>
      <c r="BK8" s="71" t="n"/>
      <c r="BL8" s="72">
        <f>'0. ГИРА'!BL8</f>
        <v/>
      </c>
      <c r="BM8" s="71" t="n"/>
      <c r="BN8" s="71" t="n"/>
      <c r="BO8" s="72">
        <f>'0. ГИРА'!BO8</f>
        <v/>
      </c>
      <c r="BP8" s="71" t="n"/>
      <c r="BQ8" s="71" t="n"/>
      <c r="BR8" s="72">
        <f>'0. ГИРА'!BR8</f>
        <v/>
      </c>
      <c r="BS8" s="71" t="n"/>
      <c r="BT8" s="71" t="n"/>
      <c r="BU8" s="72">
        <f>'0. ГИРА'!BU8</f>
        <v/>
      </c>
      <c r="BV8" s="71" t="n"/>
      <c r="BW8" s="71" t="n"/>
      <c r="BX8" s="72">
        <f>'0. ГИРА'!BX8</f>
        <v/>
      </c>
      <c r="BY8" s="71" t="n"/>
      <c r="BZ8" s="71" t="n"/>
      <c r="CA8" s="72">
        <f>'0. ГИРА'!CA8</f>
        <v/>
      </c>
      <c r="CB8" s="71" t="n"/>
      <c r="CC8" s="71" t="n"/>
      <c r="CD8" s="72">
        <f>'0. ГИРА'!CD8</f>
        <v/>
      </c>
    </row>
    <row r="9" ht="16" customHeight="1">
      <c r="A9" s="38" t="inlineStr">
        <is>
          <t>Контакт 2</t>
        </is>
      </c>
      <c r="B9" s="34">
        <f>Реестр!P8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6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Реестр!J8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1"/>
  <sheetViews>
    <sheetView zoomScale="125" zoomScaleNormal="100" workbookViewId="0">
      <selection activeCell="B17" sqref="B17"/>
    </sheetView>
  </sheetViews>
  <sheetFormatPr baseColWidth="10" defaultColWidth="11.5" defaultRowHeight="15"/>
  <cols>
    <col width="13.83203125" customWidth="1" min="1" max="1"/>
    <col width="10.83203125" customWidth="1" min="2" max="4"/>
    <col width="12.6640625" customWidth="1" min="5" max="5"/>
    <col width="23.5" customWidth="1" min="6" max="6"/>
    <col width="17.83203125" customWidth="1" min="7" max="7"/>
    <col width="10.33203125" customWidth="1" min="8" max="9"/>
    <col width="13.83203125" customWidth="1" min="10" max="10"/>
    <col width="14.83203125" customWidth="1" min="12" max="12"/>
    <col width="13.33203125" customWidth="1" min="14" max="14"/>
    <col width="7.1640625" customWidth="1" min="15" max="15"/>
    <col width="12.1640625" customWidth="1" min="16" max="16"/>
    <col width="18.33203125" customWidth="1" min="17" max="18"/>
    <col width="14" customWidth="1" min="20" max="20"/>
  </cols>
  <sheetData>
    <row r="1" ht="19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8" t="inlineStr">
        <is>
          <t>Фамилия</t>
        </is>
      </c>
      <c r="S1" s="78" t="inlineStr">
        <is>
          <t>Имя</t>
        </is>
      </c>
      <c r="T1" s="78" t="inlineStr">
        <is>
          <t>Отчество</t>
        </is>
      </c>
    </row>
    <row r="2" ht="16" customHeight="1">
      <c r="A2" s="40" t="inlineStr">
        <is>
          <t>№99 12.02.2024</t>
        </is>
      </c>
      <c r="B2" s="41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40" t="n">
        <v>45367</v>
      </c>
      <c r="L2" s="17" t="n"/>
      <c r="M2" s="42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9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40" t="inlineStr">
        <is>
          <t>№11 07.02.2025</t>
        </is>
      </c>
      <c r="B3" s="41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6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40" t="n">
        <v>45362</v>
      </c>
      <c r="L3" s="17" t="n"/>
      <c r="M3" s="42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9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3" t="inlineStr">
        <is>
          <t>№56 02.02.2025</t>
        </is>
      </c>
      <c r="B4" s="41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1" t="inlineStr">
        <is>
          <t>Врач</t>
        </is>
      </c>
      <c r="H4" s="44" t="n">
        <v>45.2</v>
      </c>
      <c r="I4" s="44" t="inlineStr">
        <is>
          <t>К45,20</t>
        </is>
      </c>
      <c r="J4" s="44" t="n"/>
      <c r="K4" s="77" t="n">
        <v>44631</v>
      </c>
      <c r="L4" s="17" t="n"/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80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3" t="inlineStr">
        <is>
          <t>№1 27.11.2025</t>
        </is>
      </c>
      <c r="B5" s="41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1" t="inlineStr">
        <is>
          <t>Мясная</t>
        </is>
      </c>
      <c r="H5" s="44" t="n">
        <v>43.3</v>
      </c>
      <c r="I5" s="44" t="inlineStr">
        <is>
          <t>К43,30</t>
        </is>
      </c>
      <c r="J5" s="44" t="n"/>
      <c r="K5" s="40" t="n">
        <v>45333</v>
      </c>
      <c r="L5" s="17" t="n"/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80" t="inlineStr">
        <is>
          <t>ООО ГИРА</t>
        </is>
      </c>
      <c r="R5" s="2" t="n"/>
      <c r="S5" s="2" t="n"/>
      <c r="T5" s="2" t="n"/>
    </row>
    <row r="6" ht="16" customHeight="1">
      <c r="A6" s="40" t="inlineStr">
        <is>
          <t>№73 27.11.2023</t>
        </is>
      </c>
      <c r="B6" s="41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40" t="n">
        <v>45275</v>
      </c>
      <c r="L6" s="17" t="n"/>
      <c r="M6" s="42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9" t="inlineStr">
        <is>
          <t>ИП Султанов Р.М</t>
        </is>
      </c>
      <c r="R6" s="2" t="n"/>
      <c r="S6" s="2" t="n"/>
      <c r="T6" s="2" t="n"/>
    </row>
    <row r="7">
      <c r="A7" s="40" t="n"/>
      <c r="B7" s="41" t="inlineStr">
        <is>
          <t>1006:3090</t>
        </is>
      </c>
      <c r="C7" s="17" t="n"/>
      <c r="D7" s="17" t="n"/>
      <c r="E7" s="17" t="n"/>
      <c r="F7" s="35" t="inlineStr">
        <is>
          <t>свободно</t>
        </is>
      </c>
      <c r="G7" s="17" t="n"/>
      <c r="H7" s="26" t="n">
        <v>28.35</v>
      </c>
      <c r="I7" s="26" t="inlineStr">
        <is>
          <t>К28,35</t>
        </is>
      </c>
      <c r="J7" s="26" t="n"/>
      <c r="K7" s="40" t="n"/>
      <c r="L7" s="17" t="n"/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79" t="inlineStr">
        <is>
          <t>ООО ГИРА</t>
        </is>
      </c>
      <c r="R7" s="2" t="n"/>
      <c r="S7" s="2" t="n"/>
      <c r="T7" s="2" t="n"/>
    </row>
    <row r="8">
      <c r="A8" s="40" t="n"/>
      <c r="B8" s="41" t="inlineStr">
        <is>
          <t>1006:3090</t>
        </is>
      </c>
      <c r="C8" s="17" t="n"/>
      <c r="D8" s="17" t="n"/>
      <c r="E8" s="17" t="n"/>
      <c r="F8" s="35" t="inlineStr">
        <is>
          <t>свободно</t>
        </is>
      </c>
      <c r="G8" s="17" t="n"/>
      <c r="H8" s="26" t="n">
        <v>23</v>
      </c>
      <c r="I8" s="26" t="inlineStr">
        <is>
          <t>К23</t>
        </is>
      </c>
      <c r="J8" s="26" t="n"/>
      <c r="K8" s="40" t="n"/>
      <c r="L8" s="17" t="n"/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7" t="inlineStr">
        <is>
          <t>-</t>
        </is>
      </c>
      <c r="Q8" s="79" t="inlineStr">
        <is>
          <t>ООО ГИРА</t>
        </is>
      </c>
      <c r="R8" s="2" t="n"/>
      <c r="S8" s="2" t="n"/>
      <c r="T8" s="2" t="n"/>
    </row>
    <row r="9">
      <c r="K9" s="39" t="n"/>
    </row>
    <row r="10">
      <c r="K10" s="39" t="n"/>
    </row>
    <row r="11">
      <c r="K11" s="39" t="n"/>
    </row>
    <row r="12">
      <c r="K12" s="39" t="n"/>
    </row>
    <row r="13">
      <c r="K13" s="39" t="n"/>
    </row>
    <row r="20">
      <c r="A20" t="inlineStr">
        <is>
          <t>количество</t>
        </is>
      </c>
    </row>
    <row r="21">
      <c r="A21">
        <f>COUNTIFS(F2:F100,"&lt;&gt;*свободно*",F2:F100,"&lt;&gt;")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10" defaultColWidth="11.5" defaultRowHeight="15"/>
  <cols>
    <col width="26.6640625" customWidth="1" min="2" max="2"/>
    <col width="17" customWidth="1" min="3" max="3"/>
    <col width="16" customWidth="1" min="5" max="5"/>
  </cols>
  <sheetData>
    <row r="1">
      <c r="E1" s="52" t="n">
        <v>45962</v>
      </c>
      <c r="G1" s="52" t="n">
        <v>45992</v>
      </c>
      <c r="I1" s="52" t="n">
        <v>46023</v>
      </c>
      <c r="K1" s="52" t="n">
        <v>46054</v>
      </c>
      <c r="M1" s="52" t="n">
        <v>46082</v>
      </c>
      <c r="O1" s="52" t="n">
        <v>46113</v>
      </c>
      <c r="Q1" s="52" t="n">
        <v>46143</v>
      </c>
      <c r="S1" s="52" t="n">
        <v>46174</v>
      </c>
      <c r="U1" s="52" t="n">
        <v>46204</v>
      </c>
      <c r="W1" s="52" t="n">
        <v>46235</v>
      </c>
      <c r="Y1" s="52" t="n">
        <v>46266</v>
      </c>
      <c r="AA1" s="52" t="n">
        <v>46296</v>
      </c>
      <c r="AC1" s="52" t="n">
        <v>46327</v>
      </c>
      <c r="AE1" s="52" t="n">
        <v>46357</v>
      </c>
      <c r="AG1" s="52" t="n">
        <v>46388</v>
      </c>
      <c r="AI1" s="52" t="n">
        <v>46419</v>
      </c>
      <c r="AK1" s="52" t="n">
        <v>46447</v>
      </c>
      <c r="AM1" s="52" t="n">
        <v>46478</v>
      </c>
      <c r="AO1" s="52" t="n">
        <v>46508</v>
      </c>
      <c r="AQ1" s="52" t="n">
        <v>46539</v>
      </c>
      <c r="AS1" s="52" t="n">
        <v>46569</v>
      </c>
      <c r="AU1" s="52" t="n">
        <v>46600</v>
      </c>
      <c r="AW1" s="52" t="n">
        <v>46631</v>
      </c>
      <c r="AY1" s="52" t="n">
        <v>46661</v>
      </c>
      <c r="BA1" s="52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8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9">
        <f>Реестр!D2</f>
        <v/>
      </c>
      <c r="B3" s="51">
        <f>Реестр!F2</f>
        <v/>
      </c>
      <c r="C3" s="54">
        <f>Реестр!H2</f>
        <v/>
      </c>
      <c r="D3" s="49" t="n">
        <v>1600</v>
      </c>
      <c r="E3" s="64">
        <f>D3*$C3</f>
        <v/>
      </c>
      <c r="F3" s="2">
        <f>D3</f>
        <v/>
      </c>
      <c r="G3" s="56">
        <f>$C3*F3</f>
        <v/>
      </c>
      <c r="H3" s="57" t="n"/>
      <c r="I3" s="56">
        <f>$C3*H3</f>
        <v/>
      </c>
      <c r="J3" s="2">
        <f>H3</f>
        <v/>
      </c>
      <c r="K3" s="56">
        <f>$C3*J3</f>
        <v/>
      </c>
      <c r="L3" s="2">
        <f>J3</f>
        <v/>
      </c>
      <c r="M3" s="56">
        <f>$C3*L3</f>
        <v/>
      </c>
      <c r="N3" s="2">
        <f>L3</f>
        <v/>
      </c>
      <c r="O3" s="56">
        <f>$C3*N3</f>
        <v/>
      </c>
      <c r="P3" s="2">
        <f>N3</f>
        <v/>
      </c>
      <c r="Q3" s="56">
        <f>$C3*P3</f>
        <v/>
      </c>
      <c r="R3" s="2">
        <f>P3</f>
        <v/>
      </c>
      <c r="S3" s="56">
        <f>$C3*R3</f>
        <v/>
      </c>
      <c r="T3" s="2">
        <f>R3</f>
        <v/>
      </c>
      <c r="U3" s="56">
        <f>$C3*T3</f>
        <v/>
      </c>
      <c r="V3" s="2">
        <f>T3</f>
        <v/>
      </c>
      <c r="W3" s="56">
        <f>$C3*V3</f>
        <v/>
      </c>
      <c r="X3" s="2">
        <f>V3</f>
        <v/>
      </c>
      <c r="Y3" s="56">
        <f>$C3*X3</f>
        <v/>
      </c>
      <c r="Z3" s="2">
        <f>X3</f>
        <v/>
      </c>
      <c r="AA3" s="56">
        <f>$C3*Z3</f>
        <v/>
      </c>
      <c r="AB3" s="2">
        <f>Z3</f>
        <v/>
      </c>
      <c r="AC3" s="56">
        <f>$C3*AB3</f>
        <v/>
      </c>
      <c r="AD3" s="2">
        <f>AB3</f>
        <v/>
      </c>
      <c r="AE3" s="56">
        <f>$C3*AD3</f>
        <v/>
      </c>
      <c r="AF3" s="57" t="n"/>
      <c r="AG3" s="56">
        <f>$C3*AF3</f>
        <v/>
      </c>
      <c r="AH3" s="2">
        <f>AF3</f>
        <v/>
      </c>
      <c r="AI3" s="56">
        <f>$C3*AH3</f>
        <v/>
      </c>
      <c r="AJ3" s="2">
        <f>AH3</f>
        <v/>
      </c>
      <c r="AK3" s="56">
        <f>$C3*AJ3</f>
        <v/>
      </c>
      <c r="AL3" s="2">
        <f>AJ3</f>
        <v/>
      </c>
      <c r="AM3" s="56">
        <f>$C3*AL3</f>
        <v/>
      </c>
      <c r="AN3" s="2">
        <f>AL3</f>
        <v/>
      </c>
      <c r="AO3" s="56">
        <f>$C3*AN3</f>
        <v/>
      </c>
      <c r="AP3" s="2">
        <f>AN3</f>
        <v/>
      </c>
      <c r="AQ3" s="56">
        <f>$C3*AP3</f>
        <v/>
      </c>
      <c r="AR3" s="2">
        <f>AP3</f>
        <v/>
      </c>
      <c r="AS3" s="56">
        <f>$C3*AR3</f>
        <v/>
      </c>
      <c r="AT3" s="2">
        <f>AR3</f>
        <v/>
      </c>
      <c r="AU3" s="56">
        <f>$C3*AT3</f>
        <v/>
      </c>
      <c r="AV3" s="2">
        <f>AT3</f>
        <v/>
      </c>
      <c r="AW3" s="56">
        <f>$C3*AV3</f>
        <v/>
      </c>
      <c r="AX3" s="2">
        <f>AV3</f>
        <v/>
      </c>
      <c r="AY3" s="56">
        <f>$C3*AX3</f>
        <v/>
      </c>
      <c r="AZ3" s="2">
        <f>AX3</f>
        <v/>
      </c>
      <c r="BA3" s="56">
        <f>$C3*AZ3</f>
        <v/>
      </c>
    </row>
    <row r="4">
      <c r="A4" s="49">
        <f>Реестр!D3</f>
        <v/>
      </c>
      <c r="B4" s="51">
        <f>Реестр!F3</f>
        <v/>
      </c>
      <c r="C4" s="54">
        <f>Реестр!H3</f>
        <v/>
      </c>
      <c r="D4" s="49" t="n">
        <v>1800</v>
      </c>
      <c r="E4" s="65">
        <f>D4*$C4</f>
        <v/>
      </c>
      <c r="F4" s="2">
        <f>D4</f>
        <v/>
      </c>
      <c r="G4" s="56">
        <f>$C4*F4</f>
        <v/>
      </c>
      <c r="H4" s="57" t="n"/>
      <c r="I4" s="56">
        <f>$C4*H4</f>
        <v/>
      </c>
      <c r="J4" s="2">
        <f>H4</f>
        <v/>
      </c>
      <c r="K4" s="56">
        <f>$C4*J4</f>
        <v/>
      </c>
      <c r="L4" s="2">
        <f>J4</f>
        <v/>
      </c>
      <c r="M4" s="56">
        <f>$C4*L4</f>
        <v/>
      </c>
      <c r="N4" s="2">
        <f>L4</f>
        <v/>
      </c>
      <c r="O4" s="56">
        <f>$C4*N4</f>
        <v/>
      </c>
      <c r="P4" s="2">
        <f>N4</f>
        <v/>
      </c>
      <c r="Q4" s="56">
        <f>$C4*P4</f>
        <v/>
      </c>
      <c r="R4" s="2">
        <f>P4</f>
        <v/>
      </c>
      <c r="S4" s="56">
        <f>$C4*R4</f>
        <v/>
      </c>
      <c r="T4" s="2">
        <f>R4</f>
        <v/>
      </c>
      <c r="U4" s="56">
        <f>$C4*T4</f>
        <v/>
      </c>
      <c r="V4" s="2">
        <f>T4</f>
        <v/>
      </c>
      <c r="W4" s="56">
        <f>$C4*V4</f>
        <v/>
      </c>
      <c r="X4" s="2">
        <f>V4</f>
        <v/>
      </c>
      <c r="Y4" s="56">
        <f>$C4*X4</f>
        <v/>
      </c>
      <c r="Z4" s="2">
        <f>X4</f>
        <v/>
      </c>
      <c r="AA4" s="56">
        <f>$C4*Z4</f>
        <v/>
      </c>
      <c r="AB4" s="2">
        <f>Z4</f>
        <v/>
      </c>
      <c r="AC4" s="56">
        <f>$C4*AB4</f>
        <v/>
      </c>
      <c r="AD4" s="2">
        <f>AB4</f>
        <v/>
      </c>
      <c r="AE4" s="56">
        <f>$C4*AD4</f>
        <v/>
      </c>
      <c r="AF4" s="57" t="n"/>
      <c r="AG4" s="56">
        <f>$C4*AF4</f>
        <v/>
      </c>
      <c r="AH4" s="2">
        <f>AF4</f>
        <v/>
      </c>
      <c r="AI4" s="56">
        <f>$C4*AH4</f>
        <v/>
      </c>
      <c r="AJ4" s="2">
        <f>AH4</f>
        <v/>
      </c>
      <c r="AK4" s="56">
        <f>$C4*AJ4</f>
        <v/>
      </c>
      <c r="AL4" s="2">
        <f>AJ4</f>
        <v/>
      </c>
      <c r="AM4" s="56">
        <f>$C4*AL4</f>
        <v/>
      </c>
      <c r="AN4" s="2">
        <f>AL4</f>
        <v/>
      </c>
      <c r="AO4" s="56">
        <f>$C4*AN4</f>
        <v/>
      </c>
      <c r="AP4" s="2">
        <f>AN4</f>
        <v/>
      </c>
      <c r="AQ4" s="56">
        <f>$C4*AP4</f>
        <v/>
      </c>
      <c r="AR4" s="2">
        <f>AP4</f>
        <v/>
      </c>
      <c r="AS4" s="56">
        <f>$C4*AR4</f>
        <v/>
      </c>
      <c r="AT4" s="2">
        <f>AR4</f>
        <v/>
      </c>
      <c r="AU4" s="56">
        <f>$C4*AT4</f>
        <v/>
      </c>
      <c r="AV4" s="2">
        <f>AT4</f>
        <v/>
      </c>
      <c r="AW4" s="56">
        <f>$C4*AV4</f>
        <v/>
      </c>
      <c r="AX4" s="2">
        <f>AV4</f>
        <v/>
      </c>
      <c r="AY4" s="56">
        <f>$C4*AX4</f>
        <v/>
      </c>
      <c r="AZ4" s="2">
        <f>AX4</f>
        <v/>
      </c>
      <c r="BA4" s="56">
        <f>$C4*AZ4</f>
        <v/>
      </c>
    </row>
    <row r="5">
      <c r="A5" s="49">
        <f>Реестр!D4</f>
        <v/>
      </c>
      <c r="B5" s="51">
        <f>Реестр!F4</f>
        <v/>
      </c>
      <c r="C5" s="54">
        <f>Реестр!H4</f>
        <v/>
      </c>
      <c r="D5" s="49" t="n"/>
      <c r="E5" s="56">
        <f>D5*$C5</f>
        <v/>
      </c>
      <c r="F5" s="2">
        <f>D5</f>
        <v/>
      </c>
      <c r="G5" s="56">
        <f>$C5*F5</f>
        <v/>
      </c>
      <c r="H5" s="57" t="n"/>
      <c r="I5" s="56">
        <f>$C5*H5</f>
        <v/>
      </c>
      <c r="J5" s="2">
        <f>H5</f>
        <v/>
      </c>
      <c r="K5" s="56">
        <f>$C5*J5</f>
        <v/>
      </c>
      <c r="L5" s="2">
        <f>J5</f>
        <v/>
      </c>
      <c r="M5" s="56">
        <f>$C5*L5</f>
        <v/>
      </c>
      <c r="N5" s="2">
        <f>L5</f>
        <v/>
      </c>
      <c r="O5" s="56">
        <f>$C5*N5</f>
        <v/>
      </c>
      <c r="P5" s="2">
        <f>N5</f>
        <v/>
      </c>
      <c r="Q5" s="56">
        <f>$C5*P5</f>
        <v/>
      </c>
      <c r="R5" s="2">
        <f>P5</f>
        <v/>
      </c>
      <c r="S5" s="56">
        <f>$C5*R5</f>
        <v/>
      </c>
      <c r="T5" s="2">
        <f>R5</f>
        <v/>
      </c>
      <c r="U5" s="56">
        <f>$C5*T5</f>
        <v/>
      </c>
      <c r="V5" s="2">
        <f>T5</f>
        <v/>
      </c>
      <c r="W5" s="56">
        <f>$C5*V5</f>
        <v/>
      </c>
      <c r="X5" s="2">
        <f>V5</f>
        <v/>
      </c>
      <c r="Y5" s="56">
        <f>$C5*X5</f>
        <v/>
      </c>
      <c r="Z5" s="2">
        <f>X5</f>
        <v/>
      </c>
      <c r="AA5" s="56">
        <f>$C5*Z5</f>
        <v/>
      </c>
      <c r="AB5" s="2">
        <f>Z5</f>
        <v/>
      </c>
      <c r="AC5" s="56">
        <f>$C5*AB5</f>
        <v/>
      </c>
      <c r="AD5" s="2">
        <f>AB5</f>
        <v/>
      </c>
      <c r="AE5" s="56">
        <f>$C5*AD5</f>
        <v/>
      </c>
      <c r="AF5" s="57" t="n"/>
      <c r="AG5" s="56">
        <f>$C5*AF5</f>
        <v/>
      </c>
      <c r="AH5" s="2">
        <f>AF5</f>
        <v/>
      </c>
      <c r="AI5" s="56">
        <f>$C5*AH5</f>
        <v/>
      </c>
      <c r="AJ5" s="2">
        <f>AH5</f>
        <v/>
      </c>
      <c r="AK5" s="56">
        <f>$C5*AJ5</f>
        <v/>
      </c>
      <c r="AL5" s="2">
        <f>AJ5</f>
        <v/>
      </c>
      <c r="AM5" s="56">
        <f>$C5*AL5</f>
        <v/>
      </c>
      <c r="AN5" s="2">
        <f>AL5</f>
        <v/>
      </c>
      <c r="AO5" s="56">
        <f>$C5*AN5</f>
        <v/>
      </c>
      <c r="AP5" s="2">
        <f>AN5</f>
        <v/>
      </c>
      <c r="AQ5" s="56">
        <f>$C5*AP5</f>
        <v/>
      </c>
      <c r="AR5" s="2">
        <f>AP5</f>
        <v/>
      </c>
      <c r="AS5" s="56">
        <f>$C5*AR5</f>
        <v/>
      </c>
      <c r="AT5" s="2">
        <f>AR5</f>
        <v/>
      </c>
      <c r="AU5" s="56">
        <f>$C5*AT5</f>
        <v/>
      </c>
      <c r="AV5" s="2">
        <f>AT5</f>
        <v/>
      </c>
      <c r="AW5" s="56">
        <f>$C5*AV5</f>
        <v/>
      </c>
      <c r="AX5" s="2">
        <f>AV5</f>
        <v/>
      </c>
      <c r="AY5" s="56">
        <f>$C5*AX5</f>
        <v/>
      </c>
      <c r="AZ5" s="2">
        <f>AX5</f>
        <v/>
      </c>
      <c r="BA5" s="56">
        <f>$C5*AZ5</f>
        <v/>
      </c>
    </row>
    <row r="6">
      <c r="A6" s="49">
        <f>Реестр!D5</f>
        <v/>
      </c>
      <c r="B6" s="51">
        <f>Реестр!F5</f>
        <v/>
      </c>
      <c r="C6" s="54">
        <f>Реестр!H5</f>
        <v/>
      </c>
      <c r="D6" s="49" t="n"/>
      <c r="E6" s="56">
        <f>D6*$C6</f>
        <v/>
      </c>
      <c r="F6" s="2">
        <f>D6</f>
        <v/>
      </c>
      <c r="G6" s="56">
        <f>$C6*F6</f>
        <v/>
      </c>
      <c r="H6" s="57" t="n"/>
      <c r="I6" s="56">
        <f>$C6*H6</f>
        <v/>
      </c>
      <c r="J6" s="2">
        <f>H6</f>
        <v/>
      </c>
      <c r="K6" s="56">
        <f>$C6*J6</f>
        <v/>
      </c>
      <c r="L6" s="2">
        <f>J6</f>
        <v/>
      </c>
      <c r="M6" s="56">
        <f>$C6*L6</f>
        <v/>
      </c>
      <c r="N6" s="2">
        <f>L6</f>
        <v/>
      </c>
      <c r="O6" s="56">
        <f>$C6*N6</f>
        <v/>
      </c>
      <c r="P6" s="2">
        <f>N6</f>
        <v/>
      </c>
      <c r="Q6" s="56">
        <f>$C6*P6</f>
        <v/>
      </c>
      <c r="R6" s="2">
        <f>P6</f>
        <v/>
      </c>
      <c r="S6" s="56">
        <f>$C6*R6</f>
        <v/>
      </c>
      <c r="T6" s="2">
        <f>R6</f>
        <v/>
      </c>
      <c r="U6" s="56">
        <f>$C6*T6</f>
        <v/>
      </c>
      <c r="V6" s="2">
        <f>T6</f>
        <v/>
      </c>
      <c r="W6" s="56">
        <f>$C6*V6</f>
        <v/>
      </c>
      <c r="X6" s="2">
        <f>V6</f>
        <v/>
      </c>
      <c r="Y6" s="56">
        <f>$C6*X6</f>
        <v/>
      </c>
      <c r="Z6" s="2">
        <f>X6</f>
        <v/>
      </c>
      <c r="AA6" s="56">
        <f>$C6*Z6</f>
        <v/>
      </c>
      <c r="AB6" s="2">
        <f>Z6</f>
        <v/>
      </c>
      <c r="AC6" s="56">
        <f>$C6*AB6</f>
        <v/>
      </c>
      <c r="AD6" s="2">
        <f>AB6</f>
        <v/>
      </c>
      <c r="AE6" s="56">
        <f>$C6*AD6</f>
        <v/>
      </c>
      <c r="AF6" s="57" t="n"/>
      <c r="AG6" s="56">
        <f>$C6*AF6</f>
        <v/>
      </c>
      <c r="AH6" s="2">
        <f>AF6</f>
        <v/>
      </c>
      <c r="AI6" s="56">
        <f>$C6*AH6</f>
        <v/>
      </c>
      <c r="AJ6" s="2">
        <f>AH6</f>
        <v/>
      </c>
      <c r="AK6" s="56">
        <f>$C6*AJ6</f>
        <v/>
      </c>
      <c r="AL6" s="2">
        <f>AJ6</f>
        <v/>
      </c>
      <c r="AM6" s="56">
        <f>$C6*AL6</f>
        <v/>
      </c>
      <c r="AN6" s="2">
        <f>AL6</f>
        <v/>
      </c>
      <c r="AO6" s="56">
        <f>$C6*AN6</f>
        <v/>
      </c>
      <c r="AP6" s="2">
        <f>AN6</f>
        <v/>
      </c>
      <c r="AQ6" s="56">
        <f>$C6*AP6</f>
        <v/>
      </c>
      <c r="AR6" s="2">
        <f>AP6</f>
        <v/>
      </c>
      <c r="AS6" s="56">
        <f>$C6*AR6</f>
        <v/>
      </c>
      <c r="AT6" s="2">
        <f>AR6</f>
        <v/>
      </c>
      <c r="AU6" s="56">
        <f>$C6*AT6</f>
        <v/>
      </c>
      <c r="AV6" s="2">
        <f>AT6</f>
        <v/>
      </c>
      <c r="AW6" s="56">
        <f>$C6*AV6</f>
        <v/>
      </c>
      <c r="AX6" s="2">
        <f>AV6</f>
        <v/>
      </c>
      <c r="AY6" s="56">
        <f>$C6*AX6</f>
        <v/>
      </c>
      <c r="AZ6" s="2">
        <f>AX6</f>
        <v/>
      </c>
      <c r="BA6" s="56">
        <f>$C6*AZ6</f>
        <v/>
      </c>
    </row>
    <row r="7">
      <c r="A7" s="49">
        <f>Реестр!D6</f>
        <v/>
      </c>
      <c r="B7" s="51">
        <f>Реестр!F6</f>
        <v/>
      </c>
      <c r="C7" s="54">
        <f>Реестр!H6</f>
        <v/>
      </c>
      <c r="D7" s="49" t="n">
        <v>2200</v>
      </c>
      <c r="E7" s="56">
        <f>D7*$C7</f>
        <v/>
      </c>
      <c r="F7" s="2">
        <f>D7</f>
        <v/>
      </c>
      <c r="G7" s="56">
        <f>$C7*F7</f>
        <v/>
      </c>
      <c r="H7" s="57" t="n"/>
      <c r="I7" s="56">
        <f>$C7*H7</f>
        <v/>
      </c>
      <c r="J7" s="2">
        <f>H7</f>
        <v/>
      </c>
      <c r="K7" s="56">
        <f>$C7*J7</f>
        <v/>
      </c>
      <c r="L7" s="2">
        <f>J7</f>
        <v/>
      </c>
      <c r="M7" s="56">
        <f>$C7*L7</f>
        <v/>
      </c>
      <c r="N7" s="2">
        <f>L7</f>
        <v/>
      </c>
      <c r="O7" s="56">
        <f>$C7*N7</f>
        <v/>
      </c>
      <c r="P7" s="2">
        <f>N7</f>
        <v/>
      </c>
      <c r="Q7" s="56">
        <f>$C7*P7</f>
        <v/>
      </c>
      <c r="R7" s="2">
        <f>P7</f>
        <v/>
      </c>
      <c r="S7" s="56">
        <f>$C7*R7</f>
        <v/>
      </c>
      <c r="T7" s="2">
        <f>R7</f>
        <v/>
      </c>
      <c r="U7" s="56">
        <f>$C7*T7</f>
        <v/>
      </c>
      <c r="V7" s="2">
        <f>T7</f>
        <v/>
      </c>
      <c r="W7" s="56">
        <f>$C7*V7</f>
        <v/>
      </c>
      <c r="X7" s="2">
        <f>V7</f>
        <v/>
      </c>
      <c r="Y7" s="56">
        <f>$C7*X7</f>
        <v/>
      </c>
      <c r="Z7" s="2">
        <f>X7</f>
        <v/>
      </c>
      <c r="AA7" s="56">
        <f>$C7*Z7</f>
        <v/>
      </c>
      <c r="AB7" s="2">
        <f>Z7</f>
        <v/>
      </c>
      <c r="AC7" s="56">
        <f>$C7*AB7</f>
        <v/>
      </c>
      <c r="AD7" s="2">
        <f>AB7</f>
        <v/>
      </c>
      <c r="AE7" s="56">
        <f>$C7*AD7</f>
        <v/>
      </c>
      <c r="AF7" s="57" t="n"/>
      <c r="AG7" s="56">
        <f>$C7*AF7</f>
        <v/>
      </c>
      <c r="AH7" s="2">
        <f>AF7</f>
        <v/>
      </c>
      <c r="AI7" s="56">
        <f>$C7*AH7</f>
        <v/>
      </c>
      <c r="AJ7" s="2">
        <f>AH7</f>
        <v/>
      </c>
      <c r="AK7" s="56">
        <f>$C7*AJ7</f>
        <v/>
      </c>
      <c r="AL7" s="2">
        <f>AJ7</f>
        <v/>
      </c>
      <c r="AM7" s="56">
        <f>$C7*AL7</f>
        <v/>
      </c>
      <c r="AN7" s="2">
        <f>AL7</f>
        <v/>
      </c>
      <c r="AO7" s="56">
        <f>$C7*AN7</f>
        <v/>
      </c>
      <c r="AP7" s="2">
        <f>AN7</f>
        <v/>
      </c>
      <c r="AQ7" s="56">
        <f>$C7*AP7</f>
        <v/>
      </c>
      <c r="AR7" s="2">
        <f>AP7</f>
        <v/>
      </c>
      <c r="AS7" s="56">
        <f>$C7*AR7</f>
        <v/>
      </c>
      <c r="AT7" s="2">
        <f>AR7</f>
        <v/>
      </c>
      <c r="AU7" s="56">
        <f>$C7*AT7</f>
        <v/>
      </c>
      <c r="AV7" s="2">
        <f>AT7</f>
        <v/>
      </c>
      <c r="AW7" s="56">
        <f>$C7*AV7</f>
        <v/>
      </c>
      <c r="AX7" s="2">
        <f>AV7</f>
        <v/>
      </c>
      <c r="AY7" s="56">
        <f>$C7*AX7</f>
        <v/>
      </c>
      <c r="AZ7" s="2">
        <f>AX7</f>
        <v/>
      </c>
      <c r="BA7" s="56">
        <f>$C7*AZ7</f>
        <v/>
      </c>
    </row>
    <row r="8">
      <c r="A8" s="49">
        <f>Реестр!D7</f>
        <v/>
      </c>
      <c r="B8" s="51">
        <f>Реестр!F7</f>
        <v/>
      </c>
      <c r="C8" s="54">
        <f>Реестр!H7</f>
        <v/>
      </c>
      <c r="D8" s="49" t="n"/>
      <c r="E8" s="56">
        <f>D8*$C8</f>
        <v/>
      </c>
      <c r="F8" s="2">
        <f>D8</f>
        <v/>
      </c>
      <c r="G8" s="56">
        <f>$C8*F8</f>
        <v/>
      </c>
      <c r="H8" s="57" t="n"/>
      <c r="I8" s="56">
        <f>$C8*H8</f>
        <v/>
      </c>
      <c r="J8" s="2">
        <f>H8</f>
        <v/>
      </c>
      <c r="K8" s="56">
        <f>$C8*J8</f>
        <v/>
      </c>
      <c r="L8" s="2">
        <f>J8</f>
        <v/>
      </c>
      <c r="M8" s="56">
        <f>$C8*L8</f>
        <v/>
      </c>
      <c r="N8" s="2">
        <f>L8</f>
        <v/>
      </c>
      <c r="O8" s="56">
        <f>$C8*N8</f>
        <v/>
      </c>
      <c r="P8" s="2">
        <f>N8</f>
        <v/>
      </c>
      <c r="Q8" s="56">
        <f>$C8*P8</f>
        <v/>
      </c>
      <c r="R8" s="2">
        <f>P8</f>
        <v/>
      </c>
      <c r="S8" s="56">
        <f>$C8*R8</f>
        <v/>
      </c>
      <c r="T8" s="2">
        <f>R8</f>
        <v/>
      </c>
      <c r="U8" s="56">
        <f>$C8*T8</f>
        <v/>
      </c>
      <c r="V8" s="2">
        <f>T8</f>
        <v/>
      </c>
      <c r="W8" s="56">
        <f>$C8*V8</f>
        <v/>
      </c>
      <c r="X8" s="2">
        <f>V8</f>
        <v/>
      </c>
      <c r="Y8" s="56">
        <f>$C8*X8</f>
        <v/>
      </c>
      <c r="Z8" s="2">
        <f>X8</f>
        <v/>
      </c>
      <c r="AA8" s="56">
        <f>$C8*Z8</f>
        <v/>
      </c>
      <c r="AB8" s="2">
        <f>Z8</f>
        <v/>
      </c>
      <c r="AC8" s="56">
        <f>$C8*AB8</f>
        <v/>
      </c>
      <c r="AD8" s="2">
        <f>AB8</f>
        <v/>
      </c>
      <c r="AE8" s="56">
        <f>$C8*AD8</f>
        <v/>
      </c>
      <c r="AF8" s="57" t="n"/>
      <c r="AG8" s="56">
        <f>$C8*AF8</f>
        <v/>
      </c>
      <c r="AH8" s="2">
        <f>AF8</f>
        <v/>
      </c>
      <c r="AI8" s="56">
        <f>$C8*AH8</f>
        <v/>
      </c>
      <c r="AJ8" s="2">
        <f>AH8</f>
        <v/>
      </c>
      <c r="AK8" s="56">
        <f>$C8*AJ8</f>
        <v/>
      </c>
      <c r="AL8" s="2">
        <f>AJ8</f>
        <v/>
      </c>
      <c r="AM8" s="56">
        <f>$C8*AL8</f>
        <v/>
      </c>
      <c r="AN8" s="2">
        <f>AL8</f>
        <v/>
      </c>
      <c r="AO8" s="56">
        <f>$C8*AN8</f>
        <v/>
      </c>
      <c r="AP8" s="2">
        <f>AN8</f>
        <v/>
      </c>
      <c r="AQ8" s="56">
        <f>$C8*AP8</f>
        <v/>
      </c>
      <c r="AR8" s="2">
        <f>AP8</f>
        <v/>
      </c>
      <c r="AS8" s="56">
        <f>$C8*AR8</f>
        <v/>
      </c>
      <c r="AT8" s="2">
        <f>AR8</f>
        <v/>
      </c>
      <c r="AU8" s="56">
        <f>$C8*AT8</f>
        <v/>
      </c>
      <c r="AV8" s="2">
        <f>AT8</f>
        <v/>
      </c>
      <c r="AW8" s="56">
        <f>$C8*AV8</f>
        <v/>
      </c>
      <c r="AX8" s="2">
        <f>AV8</f>
        <v/>
      </c>
      <c r="AY8" s="56">
        <f>$C8*AX8</f>
        <v/>
      </c>
      <c r="AZ8" s="2">
        <f>AX8</f>
        <v/>
      </c>
      <c r="BA8" s="56">
        <f>$C8*AZ8</f>
        <v/>
      </c>
    </row>
    <row r="9">
      <c r="A9" s="50">
        <f>Реестр!D8</f>
        <v/>
      </c>
      <c r="B9" s="53">
        <f>Реестр!F8</f>
        <v/>
      </c>
      <c r="C9" s="55">
        <f>Реестр!H8</f>
        <v/>
      </c>
      <c r="D9" s="50" t="n"/>
      <c r="E9" s="56">
        <f>D9*$C9</f>
        <v/>
      </c>
      <c r="F9" s="2">
        <f>D9</f>
        <v/>
      </c>
      <c r="G9" s="56">
        <f>$C9*F9</f>
        <v/>
      </c>
      <c r="H9" s="57" t="n"/>
      <c r="I9" s="56">
        <f>$C9*H9</f>
        <v/>
      </c>
      <c r="J9" s="2">
        <f>H9</f>
        <v/>
      </c>
      <c r="K9" s="56">
        <f>$C9*J9</f>
        <v/>
      </c>
      <c r="L9" s="2">
        <f>J9</f>
        <v/>
      </c>
      <c r="M9" s="56">
        <f>$C9*L9</f>
        <v/>
      </c>
      <c r="N9" s="2">
        <f>L9</f>
        <v/>
      </c>
      <c r="O9" s="56">
        <f>$C9*N9</f>
        <v/>
      </c>
      <c r="P9" s="2">
        <f>N9</f>
        <v/>
      </c>
      <c r="Q9" s="56">
        <f>$C9*P9</f>
        <v/>
      </c>
      <c r="R9" s="2">
        <f>P9</f>
        <v/>
      </c>
      <c r="S9" s="56">
        <f>$C9*R9</f>
        <v/>
      </c>
      <c r="T9" s="2">
        <f>R9</f>
        <v/>
      </c>
      <c r="U9" s="56">
        <f>$C9*T9</f>
        <v/>
      </c>
      <c r="V9" s="2">
        <f>T9</f>
        <v/>
      </c>
      <c r="W9" s="56">
        <f>$C9*V9</f>
        <v/>
      </c>
      <c r="X9" s="2">
        <f>V9</f>
        <v/>
      </c>
      <c r="Y9" s="56">
        <f>$C9*X9</f>
        <v/>
      </c>
      <c r="Z9" s="2">
        <f>X9</f>
        <v/>
      </c>
      <c r="AA9" s="56">
        <f>$C9*Z9</f>
        <v/>
      </c>
      <c r="AB9" s="2">
        <f>Z9</f>
        <v/>
      </c>
      <c r="AC9" s="56">
        <f>$C9*AB9</f>
        <v/>
      </c>
      <c r="AD9" s="2">
        <f>AB9</f>
        <v/>
      </c>
      <c r="AE9" s="56">
        <f>$C9*AD9</f>
        <v/>
      </c>
      <c r="AF9" s="57" t="n"/>
      <c r="AG9" s="56">
        <f>$C9*AF9</f>
        <v/>
      </c>
      <c r="AH9" s="2">
        <f>AF9</f>
        <v/>
      </c>
      <c r="AI9" s="56">
        <f>$C9*AH9</f>
        <v/>
      </c>
      <c r="AJ9" s="2">
        <f>AH9</f>
        <v/>
      </c>
      <c r="AK9" s="56">
        <f>$C9*AJ9</f>
        <v/>
      </c>
      <c r="AL9" s="2">
        <f>AJ9</f>
        <v/>
      </c>
      <c r="AM9" s="56">
        <f>$C9*AL9</f>
        <v/>
      </c>
      <c r="AN9" s="2">
        <f>AL9</f>
        <v/>
      </c>
      <c r="AO9" s="56">
        <f>$C9*AN9</f>
        <v/>
      </c>
      <c r="AP9" s="2">
        <f>AN9</f>
        <v/>
      </c>
      <c r="AQ9" s="56">
        <f>$C9*AP9</f>
        <v/>
      </c>
      <c r="AR9" s="2">
        <f>AP9</f>
        <v/>
      </c>
      <c r="AS9" s="56">
        <f>$C9*AR9</f>
        <v/>
      </c>
      <c r="AT9" s="2">
        <f>AR9</f>
        <v/>
      </c>
      <c r="AU9" s="56">
        <f>$C9*AT9</f>
        <v/>
      </c>
      <c r="AV9" s="2">
        <f>AT9</f>
        <v/>
      </c>
      <c r="AW9" s="56">
        <f>$C9*AV9</f>
        <v/>
      </c>
      <c r="AX9" s="2">
        <f>AV9</f>
        <v/>
      </c>
      <c r="AY9" s="56">
        <f>$C9*AX9</f>
        <v/>
      </c>
      <c r="AZ9" s="2">
        <f>AX9</f>
        <v/>
      </c>
      <c r="BA9" s="56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2026-02-03T02:04:48Z</dcterms:modified>
  <cp:lastModifiedBy>Ранель Нагимов</cp:lastModifiedBy>
</cp:coreProperties>
</file>