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min\Desktop\Arenda_Gira\docs\"/>
    </mc:Choice>
  </mc:AlternateContent>
  <xr:revisionPtr revIDLastSave="0" documentId="13_ncr:1_{50FE2B99-10C7-4B95-914A-CA98189B1893}" xr6:coauthVersionLast="47" xr6:coauthVersionMax="47" xr10:uidLastSave="{00000000-0000-0000-0000-000000000000}"/>
  <bookViews>
    <workbookView xWindow="-120" yWindow="-120" windowWidth="29040" windowHeight="15720" firstSheet="8" activeTab="8" xr2:uid="{00000000-000D-0000-FFFF-FFFF00000000}"/>
  </bookViews>
  <sheets>
    <sheet name="0. ГИРА" sheetId="1" r:id="rId1"/>
    <sheet name="К123,40" sheetId="2" r:id="rId2"/>
    <sheet name="К102,60" sheetId="3" r:id="rId3"/>
    <sheet name="К45,20" sheetId="4" r:id="rId4"/>
    <sheet name="К43,30" sheetId="5" r:id="rId5"/>
    <sheet name="К36,00" sheetId="6" r:id="rId6"/>
    <sheet name="К28,35" sheetId="7" r:id="rId7"/>
    <sheet name="К23" sheetId="8" r:id="rId8"/>
    <sheet name="Реестр" sheetId="9" r:id="rId9"/>
    <sheet name="Аренда" sheetId="10" r:id="rId10"/>
    <sheet name="ЛИСТШАБЛОН" sheetId="11" r:id="rId11"/>
    <sheet name="K666.0" sheetId="12" r:id="rId12"/>
    <sheet name="K8888.0" sheetId="13" r:id="rId13"/>
    <sheet name="K100.0" sheetId="14" r:id="rId14"/>
    <sheet name="K100.0_1" sheetId="15" r:id="rId15"/>
    <sheet name="K100.0_2" sheetId="16" r:id="rId16"/>
  </sheets>
  <externalReferences>
    <externalReference r:id="rId17"/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D12" i="16" l="1"/>
  <c r="CD11" i="16" s="1"/>
  <c r="CA12" i="16"/>
  <c r="CA11" i="16" s="1"/>
  <c r="BX12" i="16"/>
  <c r="BX11" i="16" s="1"/>
  <c r="BU12" i="16"/>
  <c r="BU11" i="16" s="1"/>
  <c r="BR12" i="16"/>
  <c r="BR11" i="16" s="1"/>
  <c r="BO12" i="16"/>
  <c r="BO11" i="16" s="1"/>
  <c r="BL12" i="16"/>
  <c r="BL11" i="16" s="1"/>
  <c r="BI12" i="16"/>
  <c r="BF12" i="16"/>
  <c r="BF11" i="16" s="1"/>
  <c r="BC12" i="16"/>
  <c r="BC11" i="16" s="1"/>
  <c r="AZ12" i="16"/>
  <c r="AZ11" i="16" s="1"/>
  <c r="AW12" i="16"/>
  <c r="AW11" i="16" s="1"/>
  <c r="AT12" i="16"/>
  <c r="AT11" i="16" s="1"/>
  <c r="AQ12" i="16"/>
  <c r="AQ11" i="16" s="1"/>
  <c r="AN12" i="16"/>
  <c r="AN11" i="16" s="1"/>
  <c r="AK12" i="16"/>
  <c r="AK11" i="16" s="1"/>
  <c r="AH12" i="16"/>
  <c r="AH11" i="16" s="1"/>
  <c r="AE12" i="16"/>
  <c r="AE11" i="16" s="1"/>
  <c r="AB12" i="16"/>
  <c r="AB11" i="16" s="1"/>
  <c r="Y12" i="16"/>
  <c r="Y11" i="16" s="1"/>
  <c r="V12" i="16"/>
  <c r="S12" i="16"/>
  <c r="P12" i="16"/>
  <c r="M12" i="16"/>
  <c r="J12" i="16"/>
  <c r="G12" i="16"/>
  <c r="CC11" i="16"/>
  <c r="BZ11" i="16"/>
  <c r="BW11" i="16"/>
  <c r="BT11" i="16"/>
  <c r="BQ11" i="16"/>
  <c r="BN11" i="16"/>
  <c r="BK11" i="16"/>
  <c r="BI11" i="16"/>
  <c r="BH11" i="16"/>
  <c r="BE11" i="16"/>
  <c r="BB11" i="16"/>
  <c r="AY11" i="16"/>
  <c r="AV11" i="16"/>
  <c r="AS11" i="16"/>
  <c r="AP11" i="16"/>
  <c r="AM11" i="16"/>
  <c r="AJ11" i="16"/>
  <c r="AG11" i="16"/>
  <c r="AD11" i="16"/>
  <c r="AA11" i="16"/>
  <c r="X11" i="16"/>
  <c r="V11" i="16"/>
  <c r="S11" i="16"/>
  <c r="U11" i="16" s="1"/>
  <c r="P11" i="16"/>
  <c r="R11" i="16" s="1"/>
  <c r="M11" i="16"/>
  <c r="O11" i="16" s="1"/>
  <c r="J11" i="16"/>
  <c r="L11" i="16" s="1"/>
  <c r="G11" i="16"/>
  <c r="I11" i="16" s="1"/>
  <c r="F11" i="16"/>
  <c r="CD10" i="16"/>
  <c r="CD9" i="16" s="1"/>
  <c r="CA10" i="16"/>
  <c r="CA9" i="16" s="1"/>
  <c r="BX10" i="16"/>
  <c r="BX9" i="16" s="1"/>
  <c r="BU10" i="16"/>
  <c r="BU9" i="16" s="1"/>
  <c r="BR10" i="16"/>
  <c r="BR9" i="16" s="1"/>
  <c r="BO10" i="16"/>
  <c r="BO9" i="16" s="1"/>
  <c r="BL10" i="16"/>
  <c r="BL9" i="16" s="1"/>
  <c r="BI10" i="16"/>
  <c r="BI9" i="16" s="1"/>
  <c r="BF10" i="16"/>
  <c r="BF9" i="16" s="1"/>
  <c r="BC10" i="16"/>
  <c r="BC9" i="16" s="1"/>
  <c r="AZ10" i="16"/>
  <c r="AZ9" i="16" s="1"/>
  <c r="AW10" i="16"/>
  <c r="AW9" i="16" s="1"/>
  <c r="AT10" i="16"/>
  <c r="AT9" i="16" s="1"/>
  <c r="AQ10" i="16"/>
  <c r="AQ9" i="16" s="1"/>
  <c r="AN10" i="16"/>
  <c r="AN9" i="16" s="1"/>
  <c r="AK10" i="16"/>
  <c r="AK9" i="16" s="1"/>
  <c r="AH10" i="16"/>
  <c r="AH9" i="16" s="1"/>
  <c r="AE10" i="16"/>
  <c r="AE9" i="16" s="1"/>
  <c r="AB10" i="16"/>
  <c r="AB9" i="16" s="1"/>
  <c r="Y10" i="16"/>
  <c r="Y9" i="16" s="1"/>
  <c r="V10" i="16"/>
  <c r="V9" i="16" s="1"/>
  <c r="S10" i="16"/>
  <c r="P10" i="16"/>
  <c r="M10" i="16"/>
  <c r="J10" i="16"/>
  <c r="J9" i="16" s="1"/>
  <c r="G10" i="16"/>
  <c r="CC9" i="16"/>
  <c r="BZ9" i="16"/>
  <c r="BW9" i="16"/>
  <c r="BT9" i="16"/>
  <c r="BQ9" i="16"/>
  <c r="BN9" i="16"/>
  <c r="BK9" i="16"/>
  <c r="BH9" i="16"/>
  <c r="BE9" i="16"/>
  <c r="BB9" i="16"/>
  <c r="AY9" i="16"/>
  <c r="AV9" i="16"/>
  <c r="AS9" i="16"/>
  <c r="AP9" i="16"/>
  <c r="AM9" i="16"/>
  <c r="AJ9" i="16"/>
  <c r="AG9" i="16"/>
  <c r="AD9" i="16"/>
  <c r="AA9" i="16"/>
  <c r="X9" i="16"/>
  <c r="U9" i="16"/>
  <c r="S9" i="16"/>
  <c r="R9" i="16"/>
  <c r="P9" i="16"/>
  <c r="O9" i="16"/>
  <c r="L9" i="16"/>
  <c r="I9" i="16"/>
  <c r="F9" i="16"/>
  <c r="B9" i="16"/>
  <c r="CD8" i="16"/>
  <c r="CD7" i="16" s="1"/>
  <c r="CA8" i="16"/>
  <c r="BX8" i="16"/>
  <c r="BU8" i="16"/>
  <c r="BU7" i="16" s="1"/>
  <c r="BR8" i="16"/>
  <c r="BR7" i="16" s="1"/>
  <c r="BO8" i="16"/>
  <c r="BO7" i="16" s="1"/>
  <c r="BL8" i="16"/>
  <c r="BL7" i="16" s="1"/>
  <c r="BI8" i="16"/>
  <c r="BI7" i="16" s="1"/>
  <c r="BF8" i="16"/>
  <c r="BF7" i="16" s="1"/>
  <c r="BC8" i="16"/>
  <c r="AZ8" i="16"/>
  <c r="AW8" i="16"/>
  <c r="AW7" i="16" s="1"/>
  <c r="AT8" i="16"/>
  <c r="AT7" i="16" s="1"/>
  <c r="AQ8" i="16"/>
  <c r="AQ7" i="16" s="1"/>
  <c r="AN8" i="16"/>
  <c r="AN7" i="16" s="1"/>
  <c r="AK8" i="16"/>
  <c r="AK7" i="16" s="1"/>
  <c r="AH8" i="16"/>
  <c r="AH7" i="16" s="1"/>
  <c r="AE8" i="16"/>
  <c r="AB8" i="16"/>
  <c r="Y8" i="16"/>
  <c r="Y7" i="16" s="1"/>
  <c r="V8" i="16"/>
  <c r="S8" i="16"/>
  <c r="P8" i="16"/>
  <c r="P7" i="16" s="1"/>
  <c r="M8" i="16"/>
  <c r="M7" i="16" s="1"/>
  <c r="J8" i="16"/>
  <c r="J7" i="16" s="1"/>
  <c r="G8" i="16"/>
  <c r="B8" i="16"/>
  <c r="CC7" i="16"/>
  <c r="BZ7" i="16"/>
  <c r="BW7" i="16"/>
  <c r="BT7" i="16"/>
  <c r="BQ7" i="16"/>
  <c r="BN7" i="16"/>
  <c r="BK7" i="16"/>
  <c r="BH7" i="16"/>
  <c r="BE7" i="16"/>
  <c r="BB7" i="16"/>
  <c r="BC7" i="16" s="1"/>
  <c r="AY7" i="16"/>
  <c r="AV7" i="16"/>
  <c r="AS7" i="16"/>
  <c r="AP7" i="16"/>
  <c r="AM7" i="16"/>
  <c r="AJ7" i="16"/>
  <c r="AG7" i="16"/>
  <c r="AD7" i="16"/>
  <c r="AA7" i="16"/>
  <c r="X7" i="16"/>
  <c r="U7" i="16"/>
  <c r="R7" i="16"/>
  <c r="O7" i="16"/>
  <c r="L7" i="16"/>
  <c r="I7" i="16"/>
  <c r="F7" i="16"/>
  <c r="G7" i="16" s="1"/>
  <c r="B7" i="16"/>
  <c r="CD6" i="16"/>
  <c r="CA6" i="16"/>
  <c r="BX6" i="16"/>
  <c r="BU6" i="16"/>
  <c r="BR6" i="16"/>
  <c r="BO6" i="16"/>
  <c r="BL6" i="16"/>
  <c r="BI6" i="16"/>
  <c r="BF6" i="16"/>
  <c r="BC6" i="16"/>
  <c r="AZ6" i="16"/>
  <c r="AW6" i="16"/>
  <c r="AT6" i="16"/>
  <c r="AQ6" i="16"/>
  <c r="AN6" i="16"/>
  <c r="AK6" i="16"/>
  <c r="AH6" i="16"/>
  <c r="AE6" i="16"/>
  <c r="AB6" i="16"/>
  <c r="Y6" i="16"/>
  <c r="V6" i="16"/>
  <c r="S6" i="16"/>
  <c r="P6" i="16"/>
  <c r="M6" i="16"/>
  <c r="J6" i="16"/>
  <c r="G6" i="16"/>
  <c r="B6" i="16"/>
  <c r="CC5" i="16"/>
  <c r="BZ5" i="16"/>
  <c r="BW5" i="16"/>
  <c r="BT5" i="16"/>
  <c r="BQ5" i="16"/>
  <c r="BN5" i="16"/>
  <c r="BK5" i="16"/>
  <c r="BH5" i="16"/>
  <c r="BE5" i="16"/>
  <c r="BB5" i="16"/>
  <c r="AY5" i="16"/>
  <c r="AV5" i="16"/>
  <c r="AS5" i="16"/>
  <c r="AP5" i="16"/>
  <c r="AM5" i="16"/>
  <c r="AJ5" i="16"/>
  <c r="AG5" i="16"/>
  <c r="AD5" i="16"/>
  <c r="AA5" i="16"/>
  <c r="X5" i="16"/>
  <c r="U5" i="16"/>
  <c r="R5" i="16"/>
  <c r="O5" i="16"/>
  <c r="L5" i="16"/>
  <c r="I5" i="16"/>
  <c r="F5" i="16"/>
  <c r="CD4" i="16"/>
  <c r="CA4" i="16"/>
  <c r="CA3" i="16" s="1"/>
  <c r="BX4" i="16"/>
  <c r="BU4" i="16"/>
  <c r="BU3" i="16" s="1"/>
  <c r="BR4" i="16"/>
  <c r="BO4" i="16"/>
  <c r="BL4" i="16"/>
  <c r="BI4" i="16"/>
  <c r="BF4" i="16"/>
  <c r="BC4" i="16"/>
  <c r="AZ4" i="16"/>
  <c r="AZ3" i="16" s="1"/>
  <c r="AW4" i="16"/>
  <c r="AT4" i="16"/>
  <c r="AQ4" i="16"/>
  <c r="AN4" i="16"/>
  <c r="AN3" i="16" s="1"/>
  <c r="AK4" i="16"/>
  <c r="AH4" i="16"/>
  <c r="AE4" i="16"/>
  <c r="AB4" i="16"/>
  <c r="AB3" i="16" s="1"/>
  <c r="Y4" i="16"/>
  <c r="Y3" i="16" s="1"/>
  <c r="V4" i="16"/>
  <c r="S4" i="16"/>
  <c r="P4" i="16"/>
  <c r="M4" i="16"/>
  <c r="J4" i="16"/>
  <c r="G4" i="16"/>
  <c r="B4" i="16"/>
  <c r="CC3" i="16"/>
  <c r="BZ3" i="16"/>
  <c r="BW3" i="16"/>
  <c r="BT3" i="16"/>
  <c r="BQ3" i="16"/>
  <c r="BN3" i="16"/>
  <c r="BK3" i="16"/>
  <c r="BH3" i="16"/>
  <c r="BE3" i="16"/>
  <c r="BB3" i="16"/>
  <c r="AY3" i="16"/>
  <c r="AV3" i="16"/>
  <c r="AW3" i="16" s="1"/>
  <c r="AS3" i="16"/>
  <c r="AT3" i="16" s="1"/>
  <c r="AP3" i="16"/>
  <c r="AQ3" i="16" s="1"/>
  <c r="AM3" i="16"/>
  <c r="AJ3" i="16"/>
  <c r="AG3" i="16"/>
  <c r="AD3" i="16"/>
  <c r="AA3" i="16"/>
  <c r="X3" i="16"/>
  <c r="U3" i="16"/>
  <c r="R3" i="16"/>
  <c r="O3" i="16"/>
  <c r="L3" i="16"/>
  <c r="I3" i="16"/>
  <c r="F3" i="16"/>
  <c r="B3" i="16"/>
  <c r="B2" i="16"/>
  <c r="B1" i="16"/>
  <c r="CD12" i="15"/>
  <c r="CD11" i="15" s="1"/>
  <c r="CA12" i="15"/>
  <c r="CA11" i="15" s="1"/>
  <c r="BX12" i="15"/>
  <c r="BX11" i="15" s="1"/>
  <c r="BU12" i="15"/>
  <c r="BU11" i="15" s="1"/>
  <c r="BR12" i="15"/>
  <c r="BR11" i="15" s="1"/>
  <c r="BO12" i="15"/>
  <c r="BO11" i="15" s="1"/>
  <c r="BL12" i="15"/>
  <c r="BL11" i="15" s="1"/>
  <c r="BI12" i="15"/>
  <c r="BI11" i="15" s="1"/>
  <c r="BF12" i="15"/>
  <c r="BF11" i="15" s="1"/>
  <c r="BC12" i="15"/>
  <c r="BC11" i="15" s="1"/>
  <c r="AZ12" i="15"/>
  <c r="AZ11" i="15" s="1"/>
  <c r="AW12" i="15"/>
  <c r="AW11" i="15" s="1"/>
  <c r="AT12" i="15"/>
  <c r="AT11" i="15" s="1"/>
  <c r="AQ12" i="15"/>
  <c r="AQ11" i="15" s="1"/>
  <c r="AN12" i="15"/>
  <c r="AN11" i="15" s="1"/>
  <c r="AK12" i="15"/>
  <c r="AK11" i="15" s="1"/>
  <c r="AH12" i="15"/>
  <c r="AH11" i="15" s="1"/>
  <c r="AE12" i="15"/>
  <c r="AE11" i="15" s="1"/>
  <c r="AB12" i="15"/>
  <c r="AB11" i="15" s="1"/>
  <c r="Y12" i="15"/>
  <c r="Y11" i="15" s="1"/>
  <c r="V12" i="15"/>
  <c r="S12" i="15"/>
  <c r="P12" i="15"/>
  <c r="M12" i="15"/>
  <c r="J12" i="15"/>
  <c r="G12" i="15"/>
  <c r="CC11" i="15"/>
  <c r="BZ11" i="15"/>
  <c r="BW11" i="15"/>
  <c r="BT11" i="15"/>
  <c r="BQ11" i="15"/>
  <c r="BN11" i="15"/>
  <c r="BK11" i="15"/>
  <c r="BH11" i="15"/>
  <c r="BE11" i="15"/>
  <c r="BB11" i="15"/>
  <c r="AY11" i="15"/>
  <c r="AV11" i="15"/>
  <c r="AS11" i="15"/>
  <c r="AP11" i="15"/>
  <c r="AM11" i="15"/>
  <c r="AJ11" i="15"/>
  <c r="AG11" i="15"/>
  <c r="AD11" i="15"/>
  <c r="AA11" i="15"/>
  <c r="X11" i="15"/>
  <c r="V11" i="15"/>
  <c r="S11" i="15"/>
  <c r="U11" i="15" s="1"/>
  <c r="P11" i="15"/>
  <c r="R11" i="15" s="1"/>
  <c r="O11" i="15"/>
  <c r="M11" i="15"/>
  <c r="J11" i="15"/>
  <c r="L11" i="15" s="1"/>
  <c r="G11" i="15"/>
  <c r="I11" i="15" s="1"/>
  <c r="F11" i="15"/>
  <c r="CD10" i="15"/>
  <c r="CD9" i="15" s="1"/>
  <c r="CA10" i="15"/>
  <c r="CA9" i="15" s="1"/>
  <c r="BX10" i="15"/>
  <c r="BX9" i="15" s="1"/>
  <c r="BU10" i="15"/>
  <c r="BU9" i="15" s="1"/>
  <c r="BR10" i="15"/>
  <c r="BR9" i="15" s="1"/>
  <c r="BO10" i="15"/>
  <c r="BO9" i="15" s="1"/>
  <c r="BL10" i="15"/>
  <c r="BL9" i="15" s="1"/>
  <c r="BI10" i="15"/>
  <c r="BI9" i="15" s="1"/>
  <c r="BF10" i="15"/>
  <c r="BF9" i="15" s="1"/>
  <c r="BC10" i="15"/>
  <c r="BC9" i="15" s="1"/>
  <c r="AZ10" i="15"/>
  <c r="AW10" i="15"/>
  <c r="AT10" i="15"/>
  <c r="AT9" i="15" s="1"/>
  <c r="AQ10" i="15"/>
  <c r="AQ9" i="15" s="1"/>
  <c r="AN10" i="15"/>
  <c r="AN9" i="15" s="1"/>
  <c r="AK10" i="15"/>
  <c r="AK9" i="15" s="1"/>
  <c r="AH10" i="15"/>
  <c r="AH9" i="15" s="1"/>
  <c r="AE10" i="15"/>
  <c r="AE9" i="15" s="1"/>
  <c r="AB10" i="15"/>
  <c r="AB9" i="15" s="1"/>
  <c r="Y10" i="15"/>
  <c r="V10" i="15"/>
  <c r="V9" i="15" s="1"/>
  <c r="S10" i="15"/>
  <c r="S9" i="15" s="1"/>
  <c r="P10" i="15"/>
  <c r="P9" i="15" s="1"/>
  <c r="M10" i="15"/>
  <c r="M9" i="15" s="1"/>
  <c r="J10" i="15"/>
  <c r="J9" i="15" s="1"/>
  <c r="G10" i="15"/>
  <c r="CC9" i="15"/>
  <c r="BZ9" i="15"/>
  <c r="BW9" i="15"/>
  <c r="BT9" i="15"/>
  <c r="BQ9" i="15"/>
  <c r="BN9" i="15"/>
  <c r="BK9" i="15"/>
  <c r="BH9" i="15"/>
  <c r="BE9" i="15"/>
  <c r="BB9" i="15"/>
  <c r="AZ9" i="15"/>
  <c r="AY9" i="15"/>
  <c r="AW9" i="15"/>
  <c r="AV9" i="15"/>
  <c r="AS9" i="15"/>
  <c r="AP9" i="15"/>
  <c r="AM9" i="15"/>
  <c r="AJ9" i="15"/>
  <c r="AG9" i="15"/>
  <c r="AD9" i="15"/>
  <c r="AA9" i="15"/>
  <c r="Y9" i="15"/>
  <c r="X9" i="15"/>
  <c r="U9" i="15"/>
  <c r="R9" i="15"/>
  <c r="O9" i="15"/>
  <c r="L9" i="15"/>
  <c r="I9" i="15"/>
  <c r="F9" i="15"/>
  <c r="B9" i="15"/>
  <c r="CD8" i="15"/>
  <c r="CD7" i="15" s="1"/>
  <c r="CA8" i="15"/>
  <c r="CA7" i="15" s="1"/>
  <c r="BX8" i="15"/>
  <c r="BX7" i="15" s="1"/>
  <c r="BU8" i="15"/>
  <c r="BR8" i="15"/>
  <c r="BR7" i="15" s="1"/>
  <c r="BO8" i="15"/>
  <c r="BO7" i="15" s="1"/>
  <c r="BL8" i="15"/>
  <c r="BI8" i="15"/>
  <c r="BI7" i="15" s="1"/>
  <c r="BF8" i="15"/>
  <c r="BF7" i="15" s="1"/>
  <c r="BC8" i="15"/>
  <c r="AZ8" i="15"/>
  <c r="AW8" i="15"/>
  <c r="AW7" i="15" s="1"/>
  <c r="AT8" i="15"/>
  <c r="AQ8" i="15"/>
  <c r="AN8" i="15"/>
  <c r="AK8" i="15"/>
  <c r="AH8" i="15"/>
  <c r="AE8" i="15"/>
  <c r="AE7" i="15" s="1"/>
  <c r="AB8" i="15"/>
  <c r="AB7" i="15" s="1"/>
  <c r="Y8" i="15"/>
  <c r="V8" i="15"/>
  <c r="S8" i="15"/>
  <c r="S7" i="15" s="1"/>
  <c r="P8" i="15"/>
  <c r="M8" i="15"/>
  <c r="M7" i="15" s="1"/>
  <c r="J8" i="15"/>
  <c r="J7" i="15" s="1"/>
  <c r="G8" i="15"/>
  <c r="B8" i="15"/>
  <c r="CC7" i="15"/>
  <c r="BZ7" i="15"/>
  <c r="BW7" i="15"/>
  <c r="BT7" i="15"/>
  <c r="BQ7" i="15"/>
  <c r="BN7" i="15"/>
  <c r="BK7" i="15"/>
  <c r="BH7" i="15"/>
  <c r="BE7" i="15"/>
  <c r="BB7" i="15"/>
  <c r="AY7" i="15"/>
  <c r="AV7" i="15"/>
  <c r="AS7" i="15"/>
  <c r="AP7" i="15"/>
  <c r="AM7" i="15"/>
  <c r="AJ7" i="15"/>
  <c r="AK7" i="15" s="1"/>
  <c r="AH7" i="15"/>
  <c r="AG7" i="15"/>
  <c r="AD7" i="15"/>
  <c r="AA7" i="15"/>
  <c r="X7" i="15"/>
  <c r="U7" i="15"/>
  <c r="R7" i="15"/>
  <c r="O7" i="15"/>
  <c r="L7" i="15"/>
  <c r="I7" i="15"/>
  <c r="F7" i="15"/>
  <c r="B7" i="15"/>
  <c r="CD6" i="15"/>
  <c r="CA6" i="15"/>
  <c r="BX6" i="15"/>
  <c r="BU6" i="15"/>
  <c r="BR6" i="15"/>
  <c r="BO6" i="15"/>
  <c r="BL6" i="15"/>
  <c r="BI6" i="15"/>
  <c r="BF6" i="15"/>
  <c r="BC6" i="15"/>
  <c r="AZ6" i="15"/>
  <c r="AW6" i="15"/>
  <c r="AT6" i="15"/>
  <c r="AQ6" i="15"/>
  <c r="AN6" i="15"/>
  <c r="AK6" i="15"/>
  <c r="AH6" i="15"/>
  <c r="AE6" i="15"/>
  <c r="AB6" i="15"/>
  <c r="Y6" i="15"/>
  <c r="V6" i="15"/>
  <c r="S6" i="15"/>
  <c r="P6" i="15"/>
  <c r="M6" i="15"/>
  <c r="J6" i="15"/>
  <c r="G6" i="15"/>
  <c r="B6" i="15"/>
  <c r="CC5" i="15"/>
  <c r="BZ5" i="15"/>
  <c r="BW5" i="15"/>
  <c r="BT5" i="15"/>
  <c r="BQ5" i="15"/>
  <c r="BN5" i="15"/>
  <c r="BK5" i="15"/>
  <c r="BH5" i="15"/>
  <c r="BE5" i="15"/>
  <c r="BB5" i="15"/>
  <c r="AY5" i="15"/>
  <c r="AV5" i="15"/>
  <c r="AS5" i="15"/>
  <c r="AP5" i="15"/>
  <c r="AM5" i="15"/>
  <c r="AJ5" i="15"/>
  <c r="AG5" i="15"/>
  <c r="AD5" i="15"/>
  <c r="AA5" i="15"/>
  <c r="X5" i="15"/>
  <c r="U5" i="15"/>
  <c r="R5" i="15"/>
  <c r="O5" i="15"/>
  <c r="L5" i="15"/>
  <c r="M5" i="15" s="1"/>
  <c r="I5" i="15"/>
  <c r="F5" i="15"/>
  <c r="CD4" i="15"/>
  <c r="CA4" i="15"/>
  <c r="BX4" i="15"/>
  <c r="BX3" i="15" s="1"/>
  <c r="BU4" i="15"/>
  <c r="BR4" i="15"/>
  <c r="BO4" i="15"/>
  <c r="BL4" i="15"/>
  <c r="BI4" i="15"/>
  <c r="BF4" i="15"/>
  <c r="BC4" i="15"/>
  <c r="AZ4" i="15"/>
  <c r="AW4" i="15"/>
  <c r="AW3" i="15" s="1"/>
  <c r="AT4" i="15"/>
  <c r="AQ4" i="15"/>
  <c r="AN4" i="15"/>
  <c r="AK4" i="15"/>
  <c r="AH4" i="15"/>
  <c r="AE4" i="15"/>
  <c r="AB4" i="15"/>
  <c r="Y4" i="15"/>
  <c r="Y3" i="15" s="1"/>
  <c r="V4" i="15"/>
  <c r="S4" i="15"/>
  <c r="P4" i="15"/>
  <c r="M4" i="15"/>
  <c r="J4" i="15"/>
  <c r="G4" i="15"/>
  <c r="B4" i="15"/>
  <c r="CC3" i="15"/>
  <c r="BZ3" i="15"/>
  <c r="CA3" i="15" s="1"/>
  <c r="BW3" i="15"/>
  <c r="BT3" i="15"/>
  <c r="BQ3" i="15"/>
  <c r="BN3" i="15"/>
  <c r="BK3" i="15"/>
  <c r="BH3" i="15"/>
  <c r="BE3" i="15"/>
  <c r="BB3" i="15"/>
  <c r="AY3" i="15"/>
  <c r="AV3" i="15"/>
  <c r="AS3" i="15"/>
  <c r="AP3" i="15"/>
  <c r="AM3" i="15"/>
  <c r="AJ3" i="15"/>
  <c r="AG3" i="15"/>
  <c r="AD3" i="15"/>
  <c r="AE3" i="15" s="1"/>
  <c r="AB3" i="15"/>
  <c r="AA3" i="15"/>
  <c r="X3" i="15"/>
  <c r="U3" i="15"/>
  <c r="R3" i="15"/>
  <c r="O3" i="15"/>
  <c r="L3" i="15"/>
  <c r="I3" i="15"/>
  <c r="F3" i="15"/>
  <c r="B3" i="15"/>
  <c r="B2" i="15"/>
  <c r="B1" i="15"/>
  <c r="CD12" i="14"/>
  <c r="CD11" i="14" s="1"/>
  <c r="CA12" i="14"/>
  <c r="CA11" i="14" s="1"/>
  <c r="BX12" i="14"/>
  <c r="BX11" i="14" s="1"/>
  <c r="BU12" i="14"/>
  <c r="BU11" i="14" s="1"/>
  <c r="BR12" i="14"/>
  <c r="BR11" i="14" s="1"/>
  <c r="BO12" i="14"/>
  <c r="BO11" i="14" s="1"/>
  <c r="BL12" i="14"/>
  <c r="BL11" i="14" s="1"/>
  <c r="BI12" i="14"/>
  <c r="BI11" i="14" s="1"/>
  <c r="BF12" i="14"/>
  <c r="BC12" i="14"/>
  <c r="BC11" i="14" s="1"/>
  <c r="AZ12" i="14"/>
  <c r="AW12" i="14"/>
  <c r="AT12" i="14"/>
  <c r="AT11" i="14" s="1"/>
  <c r="AQ12" i="14"/>
  <c r="AQ11" i="14" s="1"/>
  <c r="AN12" i="14"/>
  <c r="AN11" i="14" s="1"/>
  <c r="AK12" i="14"/>
  <c r="AK11" i="14" s="1"/>
  <c r="AH12" i="14"/>
  <c r="AH11" i="14" s="1"/>
  <c r="AE12" i="14"/>
  <c r="AB12" i="14"/>
  <c r="AB11" i="14" s="1"/>
  <c r="Y12" i="14"/>
  <c r="V12" i="14"/>
  <c r="S12" i="14"/>
  <c r="P12" i="14"/>
  <c r="M12" i="14"/>
  <c r="J12" i="14"/>
  <c r="G12" i="14"/>
  <c r="CC11" i="14"/>
  <c r="BZ11" i="14"/>
  <c r="BW11" i="14"/>
  <c r="BT11" i="14"/>
  <c r="BQ11" i="14"/>
  <c r="BN11" i="14"/>
  <c r="BK11" i="14"/>
  <c r="BH11" i="14"/>
  <c r="BF11" i="14"/>
  <c r="BE11" i="14"/>
  <c r="BB11" i="14"/>
  <c r="AZ11" i="14"/>
  <c r="AY11" i="14"/>
  <c r="AW11" i="14"/>
  <c r="AV11" i="14"/>
  <c r="AS11" i="14"/>
  <c r="AP11" i="14"/>
  <c r="AM11" i="14"/>
  <c r="AJ11" i="14"/>
  <c r="AG11" i="14"/>
  <c r="AE11" i="14"/>
  <c r="AD11" i="14"/>
  <c r="AA11" i="14"/>
  <c r="Y11" i="14"/>
  <c r="X11" i="14"/>
  <c r="V11" i="14"/>
  <c r="S11" i="14"/>
  <c r="U11" i="14" s="1"/>
  <c r="P11" i="14"/>
  <c r="R11" i="14" s="1"/>
  <c r="M11" i="14"/>
  <c r="O11" i="14" s="1"/>
  <c r="J11" i="14"/>
  <c r="L11" i="14" s="1"/>
  <c r="G11" i="14"/>
  <c r="I11" i="14" s="1"/>
  <c r="F11" i="14"/>
  <c r="CD10" i="14"/>
  <c r="CD9" i="14" s="1"/>
  <c r="CA10" i="14"/>
  <c r="CA9" i="14" s="1"/>
  <c r="BX10" i="14"/>
  <c r="BX9" i="14" s="1"/>
  <c r="BU10" i="14"/>
  <c r="BU9" i="14" s="1"/>
  <c r="BR10" i="14"/>
  <c r="BR9" i="14" s="1"/>
  <c r="BO10" i="14"/>
  <c r="BO9" i="14" s="1"/>
  <c r="BL10" i="14"/>
  <c r="BL9" i="14" s="1"/>
  <c r="BI10" i="14"/>
  <c r="BI9" i="14" s="1"/>
  <c r="BF10" i="14"/>
  <c r="BF9" i="14" s="1"/>
  <c r="BC10" i="14"/>
  <c r="AZ10" i="14"/>
  <c r="AZ9" i="14" s="1"/>
  <c r="AW10" i="14"/>
  <c r="AW9" i="14" s="1"/>
  <c r="AT10" i="14"/>
  <c r="AT9" i="14" s="1"/>
  <c r="AQ10" i="14"/>
  <c r="AQ9" i="14" s="1"/>
  <c r="AN10" i="14"/>
  <c r="AN9" i="14" s="1"/>
  <c r="AK10" i="14"/>
  <c r="AK9" i="14" s="1"/>
  <c r="AH10" i="14"/>
  <c r="AH9" i="14" s="1"/>
  <c r="AE10" i="14"/>
  <c r="AE9" i="14" s="1"/>
  <c r="AB10" i="14"/>
  <c r="AB9" i="14" s="1"/>
  <c r="Y10" i="14"/>
  <c r="V10" i="14"/>
  <c r="S10" i="14"/>
  <c r="S9" i="14" s="1"/>
  <c r="P10" i="14"/>
  <c r="P9" i="14" s="1"/>
  <c r="M10" i="14"/>
  <c r="J10" i="14"/>
  <c r="J9" i="14" s="1"/>
  <c r="G10" i="14"/>
  <c r="CC9" i="14"/>
  <c r="BZ9" i="14"/>
  <c r="BW9" i="14"/>
  <c r="BT9" i="14"/>
  <c r="BQ9" i="14"/>
  <c r="BN9" i="14"/>
  <c r="BK9" i="14"/>
  <c r="BH9" i="14"/>
  <c r="BE9" i="14"/>
  <c r="BC9" i="14"/>
  <c r="BB9" i="14"/>
  <c r="AY9" i="14"/>
  <c r="AV9" i="14"/>
  <c r="AS9" i="14"/>
  <c r="AP9" i="14"/>
  <c r="AM9" i="14"/>
  <c r="AJ9" i="14"/>
  <c r="AG9" i="14"/>
  <c r="AD9" i="14"/>
  <c r="AA9" i="14"/>
  <c r="Y9" i="14"/>
  <c r="X9" i="14"/>
  <c r="V9" i="14"/>
  <c r="U9" i="14"/>
  <c r="R9" i="14"/>
  <c r="O9" i="14"/>
  <c r="L9" i="14"/>
  <c r="I9" i="14"/>
  <c r="F9" i="14"/>
  <c r="B9" i="14"/>
  <c r="CD8" i="14"/>
  <c r="CD7" i="14" s="1"/>
  <c r="CA8" i="14"/>
  <c r="CA7" i="14" s="1"/>
  <c r="BX8" i="14"/>
  <c r="BU8" i="14"/>
  <c r="BR8" i="14"/>
  <c r="BR7" i="14" s="1"/>
  <c r="BO8" i="14"/>
  <c r="BL8" i="14"/>
  <c r="BI8" i="14"/>
  <c r="BI7" i="14" s="1"/>
  <c r="BF8" i="14"/>
  <c r="BC8" i="14"/>
  <c r="AZ8" i="14"/>
  <c r="AW8" i="14"/>
  <c r="AW7" i="14" s="1"/>
  <c r="AT8" i="14"/>
  <c r="AQ8" i="14"/>
  <c r="AN8" i="14"/>
  <c r="AK8" i="14"/>
  <c r="AH8" i="14"/>
  <c r="AH7" i="14" s="1"/>
  <c r="AE8" i="14"/>
  <c r="AB8" i="14"/>
  <c r="AB7" i="14" s="1"/>
  <c r="Y8" i="14"/>
  <c r="Y7" i="14" s="1"/>
  <c r="V8" i="14"/>
  <c r="V7" i="14" s="1"/>
  <c r="S8" i="14"/>
  <c r="S7" i="14" s="1"/>
  <c r="P8" i="14"/>
  <c r="M8" i="14"/>
  <c r="J8" i="14"/>
  <c r="J7" i="14" s="1"/>
  <c r="G8" i="14"/>
  <c r="B8" i="14"/>
  <c r="CC7" i="14"/>
  <c r="BZ7" i="14"/>
  <c r="BW7" i="14"/>
  <c r="BT7" i="14"/>
  <c r="BQ7" i="14"/>
  <c r="BN7" i="14"/>
  <c r="BK7" i="14"/>
  <c r="BH7" i="14"/>
  <c r="BE7" i="14"/>
  <c r="BB7" i="14"/>
  <c r="AY7" i="14"/>
  <c r="AV7" i="14"/>
  <c r="AS7" i="14"/>
  <c r="AT7" i="14" s="1"/>
  <c r="AP7" i="14"/>
  <c r="AM7" i="14"/>
  <c r="AJ7" i="14"/>
  <c r="AK7" i="14" s="1"/>
  <c r="AG7" i="14"/>
  <c r="AD7" i="14"/>
  <c r="AA7" i="14"/>
  <c r="X7" i="14"/>
  <c r="U7" i="14"/>
  <c r="R7" i="14"/>
  <c r="O7" i="14"/>
  <c r="L7" i="14"/>
  <c r="I7" i="14"/>
  <c r="F7" i="14"/>
  <c r="B7" i="14"/>
  <c r="CD6" i="14"/>
  <c r="CA6" i="14"/>
  <c r="BX6" i="14"/>
  <c r="BU6" i="14"/>
  <c r="BR6" i="14"/>
  <c r="BO6" i="14"/>
  <c r="BL6" i="14"/>
  <c r="BI6" i="14"/>
  <c r="BF6" i="14"/>
  <c r="BC6" i="14"/>
  <c r="AZ6" i="14"/>
  <c r="AW6" i="14"/>
  <c r="AT6" i="14"/>
  <c r="AQ6" i="14"/>
  <c r="AN6" i="14"/>
  <c r="AK6" i="14"/>
  <c r="AH6" i="14"/>
  <c r="AE6" i="14"/>
  <c r="AB6" i="14"/>
  <c r="Y6" i="14"/>
  <c r="V6" i="14"/>
  <c r="S6" i="14"/>
  <c r="P6" i="14"/>
  <c r="M6" i="14"/>
  <c r="J6" i="14"/>
  <c r="J5" i="14" s="1"/>
  <c r="G6" i="14"/>
  <c r="B6" i="14"/>
  <c r="CC5" i="14"/>
  <c r="BZ5" i="14"/>
  <c r="BW5" i="14"/>
  <c r="BT5" i="14"/>
  <c r="BQ5" i="14"/>
  <c r="BN5" i="14"/>
  <c r="BK5" i="14"/>
  <c r="BH5" i="14"/>
  <c r="BE5" i="14"/>
  <c r="BB5" i="14"/>
  <c r="AY5" i="14"/>
  <c r="AV5" i="14"/>
  <c r="AS5" i="14"/>
  <c r="AP5" i="14"/>
  <c r="AM5" i="14"/>
  <c r="AJ5" i="14"/>
  <c r="AG5" i="14"/>
  <c r="AD5" i="14"/>
  <c r="AA5" i="14"/>
  <c r="X5" i="14"/>
  <c r="U5" i="14"/>
  <c r="R5" i="14"/>
  <c r="O5" i="14"/>
  <c r="L5" i="14"/>
  <c r="M5" i="14" s="1"/>
  <c r="I5" i="14"/>
  <c r="F5" i="14"/>
  <c r="CD4" i="14"/>
  <c r="CA4" i="14"/>
  <c r="CA3" i="14" s="1"/>
  <c r="BX4" i="14"/>
  <c r="BX3" i="14" s="1"/>
  <c r="BU4" i="14"/>
  <c r="BR4" i="14"/>
  <c r="BO4" i="14"/>
  <c r="BO3" i="14" s="1"/>
  <c r="BL4" i="14"/>
  <c r="BI4" i="14"/>
  <c r="BF4" i="14"/>
  <c r="BC4" i="14"/>
  <c r="BC3" i="14" s="1"/>
  <c r="AZ4" i="14"/>
  <c r="AZ3" i="14" s="1"/>
  <c r="AW4" i="14"/>
  <c r="AT4" i="14"/>
  <c r="AQ4" i="14"/>
  <c r="AQ3" i="14" s="1"/>
  <c r="AN4" i="14"/>
  <c r="AK4" i="14"/>
  <c r="AH4" i="14"/>
  <c r="AE4" i="14"/>
  <c r="AB4" i="14"/>
  <c r="AB3" i="14" s="1"/>
  <c r="Y4" i="14"/>
  <c r="V4" i="14"/>
  <c r="S4" i="14"/>
  <c r="S3" i="14" s="1"/>
  <c r="P4" i="14"/>
  <c r="P3" i="14" s="1"/>
  <c r="M4" i="14"/>
  <c r="J4" i="14"/>
  <c r="G4" i="14"/>
  <c r="B4" i="14"/>
  <c r="CC3" i="14"/>
  <c r="BZ3" i="14"/>
  <c r="BW3" i="14"/>
  <c r="BT3" i="14"/>
  <c r="BQ3" i="14"/>
  <c r="BN3" i="14"/>
  <c r="BK3" i="14"/>
  <c r="BH3" i="14"/>
  <c r="BE3" i="14"/>
  <c r="BB3" i="14"/>
  <c r="AY3" i="14"/>
  <c r="AV3" i="14"/>
  <c r="AS3" i="14"/>
  <c r="AP3" i="14"/>
  <c r="AM3" i="14"/>
  <c r="AJ3" i="14"/>
  <c r="AK3" i="14" s="1"/>
  <c r="AG3" i="14"/>
  <c r="AD3" i="14"/>
  <c r="AE3" i="14" s="1"/>
  <c r="AA3" i="14"/>
  <c r="X3" i="14"/>
  <c r="U3" i="14"/>
  <c r="R3" i="14"/>
  <c r="O3" i="14"/>
  <c r="L3" i="14"/>
  <c r="I3" i="14"/>
  <c r="F3" i="14"/>
  <c r="B3" i="14"/>
  <c r="B2" i="14"/>
  <c r="B1" i="14"/>
  <c r="CD12" i="13"/>
  <c r="CD11" i="13" s="1"/>
  <c r="CA12" i="13"/>
  <c r="CA11" i="13" s="1"/>
  <c r="BX12" i="13"/>
  <c r="BX11" i="13" s="1"/>
  <c r="BU12" i="13"/>
  <c r="BU11" i="13" s="1"/>
  <c r="BR12" i="13"/>
  <c r="BR11" i="13" s="1"/>
  <c r="BO12" i="13"/>
  <c r="BO11" i="13" s="1"/>
  <c r="BL12" i="13"/>
  <c r="BL11" i="13" s="1"/>
  <c r="BI12" i="13"/>
  <c r="BF12" i="13"/>
  <c r="BF11" i="13" s="1"/>
  <c r="BC12" i="13"/>
  <c r="BC11" i="13" s="1"/>
  <c r="AZ12" i="13"/>
  <c r="AZ11" i="13" s="1"/>
  <c r="AW12" i="13"/>
  <c r="AW11" i="13" s="1"/>
  <c r="AT12" i="13"/>
  <c r="AT11" i="13" s="1"/>
  <c r="AQ12" i="13"/>
  <c r="AQ11" i="13" s="1"/>
  <c r="AN12" i="13"/>
  <c r="AN11" i="13" s="1"/>
  <c r="AK12" i="13"/>
  <c r="AH12" i="13"/>
  <c r="AE12" i="13"/>
  <c r="AB12" i="13"/>
  <c r="AB11" i="13" s="1"/>
  <c r="Y12" i="13"/>
  <c r="Y11" i="13" s="1"/>
  <c r="V12" i="13"/>
  <c r="S12" i="13"/>
  <c r="P12" i="13"/>
  <c r="M12" i="13"/>
  <c r="J12" i="13"/>
  <c r="G12" i="13"/>
  <c r="CC11" i="13"/>
  <c r="BZ11" i="13"/>
  <c r="BW11" i="13"/>
  <c r="BT11" i="13"/>
  <c r="BQ11" i="13"/>
  <c r="BN11" i="13"/>
  <c r="BK11" i="13"/>
  <c r="BI11" i="13"/>
  <c r="BH11" i="13"/>
  <c r="BE11" i="13"/>
  <c r="BB11" i="13"/>
  <c r="AY11" i="13"/>
  <c r="AV11" i="13"/>
  <c r="AS11" i="13"/>
  <c r="AP11" i="13"/>
  <c r="AM11" i="13"/>
  <c r="AK11" i="13"/>
  <c r="AJ11" i="13"/>
  <c r="AH11" i="13"/>
  <c r="AG11" i="13"/>
  <c r="AE11" i="13"/>
  <c r="AD11" i="13"/>
  <c r="AA11" i="13"/>
  <c r="X11" i="13"/>
  <c r="V11" i="13"/>
  <c r="S11" i="13"/>
  <c r="U11" i="13" s="1"/>
  <c r="P11" i="13"/>
  <c r="R11" i="13" s="1"/>
  <c r="M11" i="13"/>
  <c r="O11" i="13" s="1"/>
  <c r="J11" i="13"/>
  <c r="L11" i="13" s="1"/>
  <c r="G11" i="13"/>
  <c r="I11" i="13" s="1"/>
  <c r="F11" i="13"/>
  <c r="CD10" i="13"/>
  <c r="CD9" i="13" s="1"/>
  <c r="CA10" i="13"/>
  <c r="CA9" i="13" s="1"/>
  <c r="BX10" i="13"/>
  <c r="BX9" i="13" s="1"/>
  <c r="BU10" i="13"/>
  <c r="BU9" i="13" s="1"/>
  <c r="BR10" i="13"/>
  <c r="BR9" i="13" s="1"/>
  <c r="BO10" i="13"/>
  <c r="BO9" i="13" s="1"/>
  <c r="BL10" i="13"/>
  <c r="BL9" i="13" s="1"/>
  <c r="BI10" i="13"/>
  <c r="BI9" i="13" s="1"/>
  <c r="BF10" i="13"/>
  <c r="BF9" i="13" s="1"/>
  <c r="BC10" i="13"/>
  <c r="BC9" i="13" s="1"/>
  <c r="AZ10" i="13"/>
  <c r="AZ9" i="13" s="1"/>
  <c r="AW10" i="13"/>
  <c r="AW9" i="13" s="1"/>
  <c r="AT10" i="13"/>
  <c r="AT9" i="13" s="1"/>
  <c r="AQ10" i="13"/>
  <c r="AN10" i="13"/>
  <c r="AN9" i="13" s="1"/>
  <c r="AK10" i="13"/>
  <c r="AK9" i="13" s="1"/>
  <c r="AH10" i="13"/>
  <c r="AH9" i="13" s="1"/>
  <c r="AE10" i="13"/>
  <c r="AE9" i="13" s="1"/>
  <c r="AB10" i="13"/>
  <c r="AB9" i="13" s="1"/>
  <c r="Y10" i="13"/>
  <c r="Y9" i="13" s="1"/>
  <c r="V10" i="13"/>
  <c r="S10" i="13"/>
  <c r="P10" i="13"/>
  <c r="P9" i="13" s="1"/>
  <c r="M10" i="13"/>
  <c r="M9" i="13" s="1"/>
  <c r="J10" i="13"/>
  <c r="J9" i="13" s="1"/>
  <c r="G10" i="13"/>
  <c r="G9" i="13" s="1"/>
  <c r="CC9" i="13"/>
  <c r="BZ9" i="13"/>
  <c r="BW9" i="13"/>
  <c r="BT9" i="13"/>
  <c r="BQ9" i="13"/>
  <c r="BN9" i="13"/>
  <c r="BK9" i="13"/>
  <c r="BH9" i="13"/>
  <c r="BE9" i="13"/>
  <c r="BB9" i="13"/>
  <c r="AY9" i="13"/>
  <c r="AV9" i="13"/>
  <c r="AS9" i="13"/>
  <c r="AQ9" i="13"/>
  <c r="AP9" i="13"/>
  <c r="AM9" i="13"/>
  <c r="AJ9" i="13"/>
  <c r="AG9" i="13"/>
  <c r="AD9" i="13"/>
  <c r="AA9" i="13"/>
  <c r="X9" i="13"/>
  <c r="V9" i="13"/>
  <c r="U9" i="13"/>
  <c r="S9" i="13"/>
  <c r="R9" i="13"/>
  <c r="O9" i="13"/>
  <c r="L9" i="13"/>
  <c r="I9" i="13"/>
  <c r="F9" i="13"/>
  <c r="B9" i="13"/>
  <c r="CD8" i="13"/>
  <c r="CA8" i="13"/>
  <c r="BX8" i="13"/>
  <c r="BU8" i="13"/>
  <c r="BR8" i="13"/>
  <c r="BR7" i="13" s="1"/>
  <c r="BO8" i="13"/>
  <c r="BO7" i="13" s="1"/>
  <c r="BL8" i="13"/>
  <c r="BL7" i="13" s="1"/>
  <c r="BI8" i="13"/>
  <c r="BI7" i="13" s="1"/>
  <c r="BF8" i="13"/>
  <c r="BC8" i="13"/>
  <c r="BC7" i="13" s="1"/>
  <c r="AZ8" i="13"/>
  <c r="AZ7" i="13" s="1"/>
  <c r="AW8" i="13"/>
  <c r="AW7" i="13" s="1"/>
  <c r="AT8" i="13"/>
  <c r="AQ8" i="13"/>
  <c r="AN8" i="13"/>
  <c r="AK8" i="13"/>
  <c r="AK7" i="13" s="1"/>
  <c r="AH8" i="13"/>
  <c r="AE8" i="13"/>
  <c r="AE7" i="13" s="1"/>
  <c r="AB8" i="13"/>
  <c r="Y8" i="13"/>
  <c r="V8" i="13"/>
  <c r="V7" i="13" s="1"/>
  <c r="S8" i="13"/>
  <c r="S7" i="13" s="1"/>
  <c r="P8" i="13"/>
  <c r="P7" i="13" s="1"/>
  <c r="M8" i="13"/>
  <c r="M7" i="13" s="1"/>
  <c r="J8" i="13"/>
  <c r="J7" i="13" s="1"/>
  <c r="G8" i="13"/>
  <c r="B8" i="13"/>
  <c r="CD7" i="13"/>
  <c r="CC7" i="13"/>
  <c r="BZ7" i="13"/>
  <c r="BW7" i="13"/>
  <c r="BT7" i="13"/>
  <c r="BQ7" i="13"/>
  <c r="BN7" i="13"/>
  <c r="BK7" i="13"/>
  <c r="BH7" i="13"/>
  <c r="BE7" i="13"/>
  <c r="BB7" i="13"/>
  <c r="AY7" i="13"/>
  <c r="AV7" i="13"/>
  <c r="AS7" i="13"/>
  <c r="AQ7" i="13"/>
  <c r="AP7" i="13"/>
  <c r="AM7" i="13"/>
  <c r="AN7" i="13" s="1"/>
  <c r="AJ7" i="13"/>
  <c r="AG7" i="13"/>
  <c r="AH7" i="13" s="1"/>
  <c r="AD7" i="13"/>
  <c r="AA7" i="13"/>
  <c r="X7" i="13"/>
  <c r="U7" i="13"/>
  <c r="R7" i="13"/>
  <c r="O7" i="13"/>
  <c r="L7" i="13"/>
  <c r="I7" i="13"/>
  <c r="F7" i="13"/>
  <c r="B7" i="13"/>
  <c r="CD6" i="13"/>
  <c r="CA6" i="13"/>
  <c r="BX6" i="13"/>
  <c r="BU6" i="13"/>
  <c r="BR6" i="13"/>
  <c r="BO6" i="13"/>
  <c r="BL6" i="13"/>
  <c r="BI6" i="13"/>
  <c r="BF6" i="13"/>
  <c r="BC6" i="13"/>
  <c r="AZ6" i="13"/>
  <c r="AW6" i="13"/>
  <c r="AT6" i="13"/>
  <c r="AQ6" i="13"/>
  <c r="AN6" i="13"/>
  <c r="AK6" i="13"/>
  <c r="AH6" i="13"/>
  <c r="AE6" i="13"/>
  <c r="AB6" i="13"/>
  <c r="Y6" i="13"/>
  <c r="V6" i="13"/>
  <c r="S6" i="13"/>
  <c r="P6" i="13"/>
  <c r="M6" i="13"/>
  <c r="M5" i="13" s="1"/>
  <c r="J6" i="13"/>
  <c r="G6" i="13"/>
  <c r="B6" i="13"/>
  <c r="CC5" i="13"/>
  <c r="BZ5" i="13"/>
  <c r="BW5" i="13"/>
  <c r="BT5" i="13"/>
  <c r="BQ5" i="13"/>
  <c r="BN5" i="13"/>
  <c r="BK5" i="13"/>
  <c r="BH5" i="13"/>
  <c r="BE5" i="13"/>
  <c r="BB5" i="13"/>
  <c r="AY5" i="13"/>
  <c r="AV5" i="13"/>
  <c r="AS5" i="13"/>
  <c r="AP5" i="13"/>
  <c r="AM5" i="13"/>
  <c r="AJ5" i="13"/>
  <c r="AG5" i="13"/>
  <c r="AD5" i="13"/>
  <c r="AA5" i="13"/>
  <c r="X5" i="13"/>
  <c r="U5" i="13"/>
  <c r="R5" i="13"/>
  <c r="O5" i="13"/>
  <c r="L5" i="13"/>
  <c r="I5" i="13"/>
  <c r="F5" i="13"/>
  <c r="CD4" i="13"/>
  <c r="CD3" i="13" s="1"/>
  <c r="CA4" i="13"/>
  <c r="BX4" i="13"/>
  <c r="BU4" i="13"/>
  <c r="BR4" i="13"/>
  <c r="BO4" i="13"/>
  <c r="BO3" i="13" s="1"/>
  <c r="BL4" i="13"/>
  <c r="BL3" i="13" s="1"/>
  <c r="BI4" i="13"/>
  <c r="BI3" i="13" s="1"/>
  <c r="BF4" i="13"/>
  <c r="BC4" i="13"/>
  <c r="BC3" i="13" s="1"/>
  <c r="AZ4" i="13"/>
  <c r="AW4" i="13"/>
  <c r="AT4" i="13"/>
  <c r="AQ4" i="13"/>
  <c r="AN4" i="13"/>
  <c r="AN3" i="13" s="1"/>
  <c r="AK4" i="13"/>
  <c r="AK3" i="13" s="1"/>
  <c r="AH4" i="13"/>
  <c r="AE4" i="13"/>
  <c r="AE3" i="13" s="1"/>
  <c r="AB4" i="13"/>
  <c r="Y4" i="13"/>
  <c r="V4" i="13"/>
  <c r="S4" i="13"/>
  <c r="P4" i="13"/>
  <c r="P3" i="13" s="1"/>
  <c r="M4" i="13"/>
  <c r="M3" i="13" s="1"/>
  <c r="J4" i="13"/>
  <c r="G4" i="13"/>
  <c r="B4" i="13"/>
  <c r="CC3" i="13"/>
  <c r="BZ3" i="13"/>
  <c r="BW3" i="13"/>
  <c r="BT3" i="13"/>
  <c r="BQ3" i="13"/>
  <c r="BN3" i="13"/>
  <c r="BK3" i="13"/>
  <c r="BH3" i="13"/>
  <c r="BE3" i="13"/>
  <c r="BB3" i="13"/>
  <c r="AY3" i="13"/>
  <c r="AV3" i="13"/>
  <c r="AS3" i="13"/>
  <c r="AP3" i="13"/>
  <c r="AM3" i="13"/>
  <c r="AJ3" i="13"/>
  <c r="AG3" i="13"/>
  <c r="AH3" i="13" s="1"/>
  <c r="AD3" i="13"/>
  <c r="AA3" i="13"/>
  <c r="X3" i="13"/>
  <c r="U3" i="13"/>
  <c r="R3" i="13"/>
  <c r="O3" i="13"/>
  <c r="L3" i="13"/>
  <c r="I3" i="13"/>
  <c r="J3" i="13" s="1"/>
  <c r="F3" i="13"/>
  <c r="B3" i="13"/>
  <c r="B2" i="13"/>
  <c r="B1" i="13"/>
  <c r="CD12" i="12"/>
  <c r="CD11" i="12" s="1"/>
  <c r="CA12" i="12"/>
  <c r="CA11" i="12" s="1"/>
  <c r="BX12" i="12"/>
  <c r="BX11" i="12" s="1"/>
  <c r="BU12" i="12"/>
  <c r="BU11" i="12" s="1"/>
  <c r="BR12" i="12"/>
  <c r="BR11" i="12" s="1"/>
  <c r="BO12" i="12"/>
  <c r="BO11" i="12" s="1"/>
  <c r="BL12" i="12"/>
  <c r="BL11" i="12" s="1"/>
  <c r="BI12" i="12"/>
  <c r="BI11" i="12" s="1"/>
  <c r="BF12" i="12"/>
  <c r="BF11" i="12" s="1"/>
  <c r="BC12" i="12"/>
  <c r="BC11" i="12" s="1"/>
  <c r="AZ12" i="12"/>
  <c r="AZ11" i="12" s="1"/>
  <c r="AW12" i="12"/>
  <c r="AW11" i="12" s="1"/>
  <c r="AT12" i="12"/>
  <c r="AT11" i="12" s="1"/>
  <c r="AQ12" i="12"/>
  <c r="AN12" i="12"/>
  <c r="AN11" i="12" s="1"/>
  <c r="AK12" i="12"/>
  <c r="AK11" i="12" s="1"/>
  <c r="AH12" i="12"/>
  <c r="AH11" i="12" s="1"/>
  <c r="AE12" i="12"/>
  <c r="AE11" i="12" s="1"/>
  <c r="AB12" i="12"/>
  <c r="Y12" i="12"/>
  <c r="Y11" i="12" s="1"/>
  <c r="V12" i="12"/>
  <c r="S12" i="12"/>
  <c r="P12" i="12"/>
  <c r="M12" i="12"/>
  <c r="J12" i="12"/>
  <c r="G12" i="12"/>
  <c r="CC11" i="12"/>
  <c r="BZ11" i="12"/>
  <c r="BW11" i="12"/>
  <c r="BT11" i="12"/>
  <c r="BQ11" i="12"/>
  <c r="BN11" i="12"/>
  <c r="BK11" i="12"/>
  <c r="BH11" i="12"/>
  <c r="BE11" i="12"/>
  <c r="BB11" i="12"/>
  <c r="AY11" i="12"/>
  <c r="AV11" i="12"/>
  <c r="AS11" i="12"/>
  <c r="AQ11" i="12"/>
  <c r="AP11" i="12"/>
  <c r="AM11" i="12"/>
  <c r="AJ11" i="12"/>
  <c r="AG11" i="12"/>
  <c r="AD11" i="12"/>
  <c r="AB11" i="12"/>
  <c r="AA11" i="12"/>
  <c r="X11" i="12"/>
  <c r="V11" i="12"/>
  <c r="S11" i="12"/>
  <c r="U11" i="12" s="1"/>
  <c r="P11" i="12"/>
  <c r="R11" i="12" s="1"/>
  <c r="M11" i="12"/>
  <c r="O11" i="12" s="1"/>
  <c r="J11" i="12"/>
  <c r="L11" i="12" s="1"/>
  <c r="I11" i="12"/>
  <c r="G11" i="12"/>
  <c r="F11" i="12"/>
  <c r="CD10" i="12"/>
  <c r="CD9" i="12" s="1"/>
  <c r="CA10" i="12"/>
  <c r="CA9" i="12" s="1"/>
  <c r="BX10" i="12"/>
  <c r="BX9" i="12" s="1"/>
  <c r="BU10" i="12"/>
  <c r="BU9" i="12" s="1"/>
  <c r="BR10" i="12"/>
  <c r="BR9" i="12" s="1"/>
  <c r="BO10" i="12"/>
  <c r="BO9" i="12" s="1"/>
  <c r="BL10" i="12"/>
  <c r="BL9" i="12" s="1"/>
  <c r="BI10" i="12"/>
  <c r="BI9" i="12" s="1"/>
  <c r="BF10" i="12"/>
  <c r="BF9" i="12" s="1"/>
  <c r="BC10" i="12"/>
  <c r="BC9" i="12" s="1"/>
  <c r="AZ10" i="12"/>
  <c r="AW10" i="12"/>
  <c r="AW9" i="12" s="1"/>
  <c r="AT10" i="12"/>
  <c r="AT9" i="12" s="1"/>
  <c r="AQ10" i="12"/>
  <c r="AQ9" i="12" s="1"/>
  <c r="AN10" i="12"/>
  <c r="AN9" i="12" s="1"/>
  <c r="AK10" i="12"/>
  <c r="AH10" i="12"/>
  <c r="AH9" i="12" s="1"/>
  <c r="AE10" i="12"/>
  <c r="AE9" i="12" s="1"/>
  <c r="AB10" i="12"/>
  <c r="AB9" i="12" s="1"/>
  <c r="Y10" i="12"/>
  <c r="Y9" i="12" s="1"/>
  <c r="V10" i="12"/>
  <c r="V9" i="12" s="1"/>
  <c r="S10" i="12"/>
  <c r="S9" i="12" s="1"/>
  <c r="P10" i="12"/>
  <c r="P9" i="12" s="1"/>
  <c r="M10" i="12"/>
  <c r="J10" i="12"/>
  <c r="J9" i="12" s="1"/>
  <c r="G10" i="12"/>
  <c r="CC9" i="12"/>
  <c r="BZ9" i="12"/>
  <c r="BW9" i="12"/>
  <c r="BT9" i="12"/>
  <c r="BQ9" i="12"/>
  <c r="BN9" i="12"/>
  <c r="BK9" i="12"/>
  <c r="BH9" i="12"/>
  <c r="BE9" i="12"/>
  <c r="BB9" i="12"/>
  <c r="AZ9" i="12"/>
  <c r="AY9" i="12"/>
  <c r="AV9" i="12"/>
  <c r="AS9" i="12"/>
  <c r="AP9" i="12"/>
  <c r="AM9" i="12"/>
  <c r="AK9" i="12"/>
  <c r="AJ9" i="12"/>
  <c r="AG9" i="12"/>
  <c r="AD9" i="12"/>
  <c r="AA9" i="12"/>
  <c r="X9" i="12"/>
  <c r="U9" i="12"/>
  <c r="R9" i="12"/>
  <c r="O9" i="12"/>
  <c r="L9" i="12"/>
  <c r="I9" i="12"/>
  <c r="F9" i="12"/>
  <c r="B9" i="12"/>
  <c r="CD8" i="12"/>
  <c r="CA8" i="12"/>
  <c r="BX8" i="12"/>
  <c r="BX7" i="12" s="1"/>
  <c r="BU8" i="12"/>
  <c r="BU7" i="12" s="1"/>
  <c r="BR8" i="12"/>
  <c r="BR7" i="12" s="1"/>
  <c r="BO8" i="12"/>
  <c r="BO7" i="12" s="1"/>
  <c r="BL8" i="12"/>
  <c r="BL7" i="12" s="1"/>
  <c r="BI8" i="12"/>
  <c r="BI7" i="12" s="1"/>
  <c r="BF8" i="12"/>
  <c r="BF7" i="12" s="1"/>
  <c r="BC8" i="12"/>
  <c r="BC7" i="12" s="1"/>
  <c r="AZ8" i="12"/>
  <c r="AZ7" i="12" s="1"/>
  <c r="AW8" i="12"/>
  <c r="AW7" i="12" s="1"/>
  <c r="AT8" i="12"/>
  <c r="AQ8" i="12"/>
  <c r="AN8" i="12"/>
  <c r="AK8" i="12"/>
  <c r="AH8" i="12"/>
  <c r="AE8" i="12"/>
  <c r="AB8" i="12"/>
  <c r="Y8" i="12"/>
  <c r="Y7" i="12" s="1"/>
  <c r="V8" i="12"/>
  <c r="V7" i="12" s="1"/>
  <c r="S8" i="12"/>
  <c r="P8" i="12"/>
  <c r="M8" i="12"/>
  <c r="M7" i="12" s="1"/>
  <c r="J8" i="12"/>
  <c r="J7" i="12" s="1"/>
  <c r="G8" i="12"/>
  <c r="G7" i="12" s="1"/>
  <c r="B8" i="12"/>
  <c r="CC7" i="12"/>
  <c r="BZ7" i="12"/>
  <c r="BW7" i="12"/>
  <c r="BT7" i="12"/>
  <c r="BQ7" i="12"/>
  <c r="BN7" i="12"/>
  <c r="BK7" i="12"/>
  <c r="BH7" i="12"/>
  <c r="BE7" i="12"/>
  <c r="BB7" i="12"/>
  <c r="AY7" i="12"/>
  <c r="AV7" i="12"/>
  <c r="AS7" i="12"/>
  <c r="AQ7" i="12"/>
  <c r="AP7" i="12"/>
  <c r="AM7" i="12"/>
  <c r="AJ7" i="12"/>
  <c r="AK7" i="12" s="1"/>
  <c r="AG7" i="12"/>
  <c r="AD7" i="12"/>
  <c r="AA7" i="12"/>
  <c r="X7" i="12"/>
  <c r="U7" i="12"/>
  <c r="R7" i="12"/>
  <c r="O7" i="12"/>
  <c r="L7" i="12"/>
  <c r="I7" i="12"/>
  <c r="F7" i="12"/>
  <c r="B7" i="12"/>
  <c r="CD6" i="12"/>
  <c r="CA6" i="12"/>
  <c r="BX6" i="12"/>
  <c r="BU6" i="12"/>
  <c r="BR6" i="12"/>
  <c r="BO6" i="12"/>
  <c r="BL6" i="12"/>
  <c r="BI6" i="12"/>
  <c r="BF6" i="12"/>
  <c r="BC6" i="12"/>
  <c r="AZ6" i="12"/>
  <c r="AW6" i="12"/>
  <c r="AT6" i="12"/>
  <c r="AQ6" i="12"/>
  <c r="AN6" i="12"/>
  <c r="AK6" i="12"/>
  <c r="AH6" i="12"/>
  <c r="AE6" i="12"/>
  <c r="AB6" i="12"/>
  <c r="Y6" i="12"/>
  <c r="V6" i="12"/>
  <c r="S6" i="12"/>
  <c r="P6" i="12"/>
  <c r="M6" i="12"/>
  <c r="M5" i="12" s="1"/>
  <c r="J6" i="12"/>
  <c r="G6" i="12"/>
  <c r="B6" i="12"/>
  <c r="CC5" i="12"/>
  <c r="BZ5" i="12"/>
  <c r="BW5" i="12"/>
  <c r="BT5" i="12"/>
  <c r="BQ5" i="12"/>
  <c r="BN5" i="12"/>
  <c r="BK5" i="12"/>
  <c r="BH5" i="12"/>
  <c r="BE5" i="12"/>
  <c r="BB5" i="12"/>
  <c r="AY5" i="12"/>
  <c r="AV5" i="12"/>
  <c r="AS5" i="12"/>
  <c r="AP5" i="12"/>
  <c r="AM5" i="12"/>
  <c r="AJ5" i="12"/>
  <c r="AG5" i="12"/>
  <c r="AD5" i="12"/>
  <c r="AA5" i="12"/>
  <c r="X5" i="12"/>
  <c r="U5" i="12"/>
  <c r="R5" i="12"/>
  <c r="O5" i="12"/>
  <c r="L5" i="12"/>
  <c r="I5" i="12"/>
  <c r="F5" i="12"/>
  <c r="CD4" i="12"/>
  <c r="CA4" i="12"/>
  <c r="BX4" i="12"/>
  <c r="BX3" i="12" s="1"/>
  <c r="BU4" i="12"/>
  <c r="BR4" i="12"/>
  <c r="BR3" i="12" s="1"/>
  <c r="BO4" i="12"/>
  <c r="BL4" i="12"/>
  <c r="BI4" i="12"/>
  <c r="BF4" i="12"/>
  <c r="BF3" i="12" s="1"/>
  <c r="BC4" i="12"/>
  <c r="AZ4" i="12"/>
  <c r="AW4" i="12"/>
  <c r="AW3" i="12" s="1"/>
  <c r="AT4" i="12"/>
  <c r="AT3" i="12" s="1"/>
  <c r="AQ4" i="12"/>
  <c r="AN4" i="12"/>
  <c r="AN3" i="12" s="1"/>
  <c r="AK4" i="12"/>
  <c r="AH4" i="12"/>
  <c r="AE4" i="12"/>
  <c r="AB4" i="12"/>
  <c r="Y4" i="12"/>
  <c r="V4" i="12"/>
  <c r="V3" i="12" s="1"/>
  <c r="S4" i="12"/>
  <c r="P4" i="12"/>
  <c r="M4" i="12"/>
  <c r="J4" i="12"/>
  <c r="G4" i="12"/>
  <c r="B4" i="12"/>
  <c r="M9" i="12" s="1"/>
  <c r="CD3" i="12"/>
  <c r="CC3" i="12"/>
  <c r="BZ3" i="12"/>
  <c r="BW3" i="12"/>
  <c r="BT3" i="12"/>
  <c r="BQ3" i="12"/>
  <c r="BN3" i="12"/>
  <c r="BK3" i="12"/>
  <c r="BH3" i="12"/>
  <c r="BE3" i="12"/>
  <c r="BB3" i="12"/>
  <c r="AY3" i="12"/>
  <c r="AV3" i="12"/>
  <c r="AS3" i="12"/>
  <c r="AP3" i="12"/>
  <c r="AM3" i="12"/>
  <c r="AJ3" i="12"/>
  <c r="AH3" i="12"/>
  <c r="AG3" i="12"/>
  <c r="AD3" i="12"/>
  <c r="AA3" i="12"/>
  <c r="AB3" i="12" s="1"/>
  <c r="X3" i="12"/>
  <c r="Y3" i="12" s="1"/>
  <c r="U3" i="12"/>
  <c r="R3" i="12"/>
  <c r="O3" i="12"/>
  <c r="L3" i="12"/>
  <c r="M3" i="12" s="1"/>
  <c r="J3" i="12"/>
  <c r="I3" i="12"/>
  <c r="F3" i="12"/>
  <c r="B3" i="12"/>
  <c r="B2" i="12"/>
  <c r="B1" i="12"/>
  <c r="CD12" i="11"/>
  <c r="CD11" i="11" s="1"/>
  <c r="CA12" i="11"/>
  <c r="CA11" i="11" s="1"/>
  <c r="BX12" i="11"/>
  <c r="BX11" i="11" s="1"/>
  <c r="BU12" i="11"/>
  <c r="BU11" i="11" s="1"/>
  <c r="BR12" i="11"/>
  <c r="BR11" i="11" s="1"/>
  <c r="BO12" i="11"/>
  <c r="BO11" i="11" s="1"/>
  <c r="BL12" i="11"/>
  <c r="BL11" i="11" s="1"/>
  <c r="BI12" i="11"/>
  <c r="BF12" i="11"/>
  <c r="BF11" i="11" s="1"/>
  <c r="BC12" i="11"/>
  <c r="BC11" i="11" s="1"/>
  <c r="AZ12" i="11"/>
  <c r="AZ11" i="11" s="1"/>
  <c r="AW12" i="11"/>
  <c r="AW11" i="11" s="1"/>
  <c r="AT12" i="11"/>
  <c r="AT11" i="11" s="1"/>
  <c r="AQ12" i="11"/>
  <c r="AQ11" i="11" s="1"/>
  <c r="AN12" i="11"/>
  <c r="AN11" i="11" s="1"/>
  <c r="AK12" i="11"/>
  <c r="AK11" i="11" s="1"/>
  <c r="AH12" i="11"/>
  <c r="AH11" i="11" s="1"/>
  <c r="AE12" i="11"/>
  <c r="AE11" i="11" s="1"/>
  <c r="AB12" i="11"/>
  <c r="Y12" i="11"/>
  <c r="Y11" i="11" s="1"/>
  <c r="V12" i="11"/>
  <c r="S12" i="11"/>
  <c r="P12" i="11"/>
  <c r="M12" i="11"/>
  <c r="J12" i="11"/>
  <c r="G12" i="11"/>
  <c r="CC11" i="11"/>
  <c r="BZ11" i="11"/>
  <c r="BW11" i="11"/>
  <c r="BT11" i="11"/>
  <c r="BQ11" i="11"/>
  <c r="BN11" i="11"/>
  <c r="BK11" i="11"/>
  <c r="BI11" i="11"/>
  <c r="BH11" i="11"/>
  <c r="BE11" i="11"/>
  <c r="BB11" i="11"/>
  <c r="AY11" i="11"/>
  <c r="AV11" i="11"/>
  <c r="AS11" i="11"/>
  <c r="AP11" i="11"/>
  <c r="AM11" i="11"/>
  <c r="AJ11" i="11"/>
  <c r="AG11" i="11"/>
  <c r="AD11" i="11"/>
  <c r="AB11" i="11"/>
  <c r="AA11" i="11"/>
  <c r="X11" i="11"/>
  <c r="V11" i="11"/>
  <c r="S11" i="11"/>
  <c r="U11" i="11" s="1"/>
  <c r="P11" i="11"/>
  <c r="R11" i="11" s="1"/>
  <c r="M11" i="11"/>
  <c r="O11" i="11" s="1"/>
  <c r="J11" i="11"/>
  <c r="L11" i="11" s="1"/>
  <c r="G11" i="11"/>
  <c r="I11" i="11" s="1"/>
  <c r="F11" i="11"/>
  <c r="CD10" i="11"/>
  <c r="CD9" i="11" s="1"/>
  <c r="CA10" i="11"/>
  <c r="CA9" i="11" s="1"/>
  <c r="BX10" i="11"/>
  <c r="BX9" i="11" s="1"/>
  <c r="BU10" i="11"/>
  <c r="BU9" i="11" s="1"/>
  <c r="BR10" i="11"/>
  <c r="BR9" i="11" s="1"/>
  <c r="BO10" i="11"/>
  <c r="BO9" i="11" s="1"/>
  <c r="BL10" i="11"/>
  <c r="BI10" i="11"/>
  <c r="BF10" i="11"/>
  <c r="BF9" i="11" s="1"/>
  <c r="BC10" i="11"/>
  <c r="BC9" i="11" s="1"/>
  <c r="AZ10" i="11"/>
  <c r="AZ9" i="11" s="1"/>
  <c r="AW10" i="11"/>
  <c r="AW9" i="11" s="1"/>
  <c r="AT10" i="11"/>
  <c r="AT9" i="11" s="1"/>
  <c r="AQ10" i="11"/>
  <c r="AQ9" i="11" s="1"/>
  <c r="AN10" i="11"/>
  <c r="AN9" i="11" s="1"/>
  <c r="AK10" i="11"/>
  <c r="AK9" i="11" s="1"/>
  <c r="AH10" i="11"/>
  <c r="AH9" i="11" s="1"/>
  <c r="AE10" i="11"/>
  <c r="AE9" i="11" s="1"/>
  <c r="AB10" i="11"/>
  <c r="AB9" i="11" s="1"/>
  <c r="Y10" i="11"/>
  <c r="Y9" i="11" s="1"/>
  <c r="V10" i="11"/>
  <c r="V9" i="11" s="1"/>
  <c r="S10" i="11"/>
  <c r="S9" i="11" s="1"/>
  <c r="P10" i="11"/>
  <c r="M10" i="11"/>
  <c r="J10" i="11"/>
  <c r="J9" i="11" s="1"/>
  <c r="G10" i="11"/>
  <c r="CC9" i="11"/>
  <c r="BZ9" i="11"/>
  <c r="BW9" i="11"/>
  <c r="BT9" i="11"/>
  <c r="BQ9" i="11"/>
  <c r="BN9" i="11"/>
  <c r="BL9" i="11"/>
  <c r="BK9" i="11"/>
  <c r="BI9" i="11"/>
  <c r="BH9" i="11"/>
  <c r="BE9" i="11"/>
  <c r="BB9" i="11"/>
  <c r="AY9" i="11"/>
  <c r="AV9" i="11"/>
  <c r="AS9" i="11"/>
  <c r="AP9" i="11"/>
  <c r="AM9" i="11"/>
  <c r="AJ9" i="11"/>
  <c r="AG9" i="11"/>
  <c r="AD9" i="11"/>
  <c r="AA9" i="11"/>
  <c r="X9" i="11"/>
  <c r="U9" i="11"/>
  <c r="R9" i="11"/>
  <c r="P9" i="11"/>
  <c r="O9" i="11"/>
  <c r="L9" i="11"/>
  <c r="I9" i="11"/>
  <c r="F9" i="11"/>
  <c r="B9" i="11"/>
  <c r="CD8" i="11"/>
  <c r="CD7" i="11" s="1"/>
  <c r="CA8" i="11"/>
  <c r="BX8" i="11"/>
  <c r="BU8" i="11"/>
  <c r="BU7" i="11" s="1"/>
  <c r="BR8" i="11"/>
  <c r="BO8" i="11"/>
  <c r="BL8" i="11"/>
  <c r="BL7" i="11" s="1"/>
  <c r="BI8" i="11"/>
  <c r="BF8" i="11"/>
  <c r="BC8" i="11"/>
  <c r="BC7" i="11" s="1"/>
  <c r="AZ8" i="11"/>
  <c r="AW8" i="11"/>
  <c r="AT8" i="11"/>
  <c r="AT7" i="11" s="1"/>
  <c r="AQ8" i="11"/>
  <c r="AQ7" i="11" s="1"/>
  <c r="AN8" i="11"/>
  <c r="AN7" i="11" s="1"/>
  <c r="AK8" i="11"/>
  <c r="AK7" i="11" s="1"/>
  <c r="AH8" i="11"/>
  <c r="AH7" i="11" s="1"/>
  <c r="AE8" i="11"/>
  <c r="AB8" i="11"/>
  <c r="Y8" i="11"/>
  <c r="V8" i="11"/>
  <c r="S8" i="11"/>
  <c r="P8" i="11"/>
  <c r="P7" i="11" s="1"/>
  <c r="M8" i="11"/>
  <c r="M7" i="11" s="1"/>
  <c r="J8" i="11"/>
  <c r="J7" i="11" s="1"/>
  <c r="G8" i="11"/>
  <c r="G7" i="11" s="1"/>
  <c r="B8" i="11"/>
  <c r="CC7" i="11"/>
  <c r="BZ7" i="11"/>
  <c r="BW7" i="11"/>
  <c r="BT7" i="11"/>
  <c r="BQ7" i="11"/>
  <c r="BN7" i="11"/>
  <c r="BK7" i="11"/>
  <c r="BH7" i="11"/>
  <c r="BE7" i="11"/>
  <c r="BB7" i="11"/>
  <c r="AY7" i="11"/>
  <c r="AV7" i="11"/>
  <c r="AS7" i="11"/>
  <c r="AP7" i="11"/>
  <c r="AM7" i="11"/>
  <c r="AJ7" i="11"/>
  <c r="AG7" i="11"/>
  <c r="AD7" i="11"/>
  <c r="AA7" i="11"/>
  <c r="X7" i="11"/>
  <c r="V7" i="11"/>
  <c r="U7" i="11"/>
  <c r="R7" i="11"/>
  <c r="O7" i="11"/>
  <c r="L7" i="11"/>
  <c r="I7" i="11"/>
  <c r="F7" i="11"/>
  <c r="B7" i="11"/>
  <c r="CD6" i="11"/>
  <c r="CA6" i="11"/>
  <c r="BX6" i="11"/>
  <c r="BU6" i="11"/>
  <c r="BR6" i="11"/>
  <c r="BO6" i="11"/>
  <c r="BL6" i="11"/>
  <c r="BI6" i="11"/>
  <c r="BF6" i="11"/>
  <c r="BC6" i="11"/>
  <c r="AZ6" i="11"/>
  <c r="AW6" i="11"/>
  <c r="AT6" i="11"/>
  <c r="AQ6" i="11"/>
  <c r="AN6" i="11"/>
  <c r="AK6" i="11"/>
  <c r="AH6" i="11"/>
  <c r="AE6" i="11"/>
  <c r="AB6" i="11"/>
  <c r="Y6" i="11"/>
  <c r="V6" i="11"/>
  <c r="S6" i="11"/>
  <c r="P6" i="11"/>
  <c r="M6" i="11"/>
  <c r="J6" i="11"/>
  <c r="J5" i="11" s="1"/>
  <c r="G6" i="11"/>
  <c r="B6" i="11"/>
  <c r="CC5" i="11"/>
  <c r="BZ5" i="11"/>
  <c r="BW5" i="11"/>
  <c r="BT5" i="11"/>
  <c r="BQ5" i="11"/>
  <c r="BN5" i="11"/>
  <c r="BK5" i="11"/>
  <c r="BH5" i="11"/>
  <c r="BE5" i="11"/>
  <c r="BB5" i="11"/>
  <c r="AY5" i="11"/>
  <c r="AV5" i="11"/>
  <c r="AS5" i="11"/>
  <c r="AP5" i="11"/>
  <c r="AM5" i="11"/>
  <c r="AJ5" i="11"/>
  <c r="AG5" i="11"/>
  <c r="AD5" i="11"/>
  <c r="AA5" i="11"/>
  <c r="X5" i="11"/>
  <c r="U5" i="11"/>
  <c r="R5" i="11"/>
  <c r="O5" i="11"/>
  <c r="L5" i="11"/>
  <c r="I5" i="11"/>
  <c r="F5" i="11"/>
  <c r="CD4" i="11"/>
  <c r="CA4" i="11"/>
  <c r="CA3" i="11" s="1"/>
  <c r="BX4" i="11"/>
  <c r="BU4" i="11"/>
  <c r="BR4" i="11"/>
  <c r="BR3" i="11" s="1"/>
  <c r="BO4" i="11"/>
  <c r="BL4" i="11"/>
  <c r="BI4" i="11"/>
  <c r="BF4" i="11"/>
  <c r="BF3" i="11" s="1"/>
  <c r="BC4" i="11"/>
  <c r="BC3" i="11" s="1"/>
  <c r="AZ4" i="11"/>
  <c r="AW4" i="11"/>
  <c r="AT4" i="11"/>
  <c r="AQ4" i="11"/>
  <c r="AQ3" i="11" s="1"/>
  <c r="AN4" i="11"/>
  <c r="AK4" i="11"/>
  <c r="AH4" i="11"/>
  <c r="AE4" i="11"/>
  <c r="AE3" i="11" s="1"/>
  <c r="AB4" i="11"/>
  <c r="Y4" i="11"/>
  <c r="V4" i="11"/>
  <c r="V3" i="11" s="1"/>
  <c r="S4" i="11"/>
  <c r="S3" i="11" s="1"/>
  <c r="P4" i="11"/>
  <c r="M4" i="11"/>
  <c r="J4" i="11"/>
  <c r="G4" i="11"/>
  <c r="G3" i="11" s="1"/>
  <c r="B4" i="11"/>
  <c r="G9" i="11" s="1"/>
  <c r="CC3" i="11"/>
  <c r="BZ3" i="11"/>
  <c r="BW3" i="11"/>
  <c r="BT3" i="11"/>
  <c r="BQ3" i="11"/>
  <c r="BN3" i="11"/>
  <c r="BK3" i="11"/>
  <c r="BH3" i="11"/>
  <c r="BE3" i="11"/>
  <c r="BB3" i="11"/>
  <c r="AY3" i="11"/>
  <c r="AV3" i="11"/>
  <c r="AS3" i="11"/>
  <c r="AP3" i="11"/>
  <c r="AM3" i="11"/>
  <c r="AJ3" i="11"/>
  <c r="AG3" i="11"/>
  <c r="AD3" i="11"/>
  <c r="AA3" i="11"/>
  <c r="X3" i="11"/>
  <c r="U3" i="11"/>
  <c r="R3" i="11"/>
  <c r="O3" i="11"/>
  <c r="L3" i="11"/>
  <c r="I3" i="11"/>
  <c r="F3" i="11"/>
  <c r="B3" i="11"/>
  <c r="B2" i="11"/>
  <c r="B1" i="11"/>
  <c r="AH9" i="10"/>
  <c r="AJ9" i="10" s="1"/>
  <c r="AG9" i="10"/>
  <c r="N9" i="10"/>
  <c r="P9" i="10" s="1"/>
  <c r="J9" i="10"/>
  <c r="L9" i="10" s="1"/>
  <c r="M9" i="10" s="1"/>
  <c r="I9" i="10"/>
  <c r="F9" i="10"/>
  <c r="E9" i="10"/>
  <c r="C9" i="10"/>
  <c r="B9" i="10"/>
  <c r="A9" i="10"/>
  <c r="AH8" i="10"/>
  <c r="AG8" i="10"/>
  <c r="L8" i="10"/>
  <c r="N8" i="10" s="1"/>
  <c r="K8" i="10"/>
  <c r="J8" i="10"/>
  <c r="I8" i="10"/>
  <c r="F8" i="10"/>
  <c r="G8" i="10" s="1"/>
  <c r="E8" i="10"/>
  <c r="C8" i="10"/>
  <c r="B8" i="10"/>
  <c r="A8" i="10"/>
  <c r="AH7" i="10"/>
  <c r="AJ7" i="10" s="1"/>
  <c r="AL7" i="10" s="1"/>
  <c r="AN7" i="10" s="1"/>
  <c r="AP7" i="10" s="1"/>
  <c r="AR7" i="10" s="1"/>
  <c r="AT7" i="10" s="1"/>
  <c r="AV7" i="10" s="1"/>
  <c r="AX7" i="10" s="1"/>
  <c r="AZ7" i="10" s="1"/>
  <c r="J7" i="10"/>
  <c r="L7" i="10" s="1"/>
  <c r="N7" i="10" s="1"/>
  <c r="P7" i="10" s="1"/>
  <c r="R7" i="10" s="1"/>
  <c r="T7" i="10" s="1"/>
  <c r="V7" i="10" s="1"/>
  <c r="X7" i="10" s="1"/>
  <c r="Z7" i="10" s="1"/>
  <c r="AB7" i="10" s="1"/>
  <c r="AD7" i="10" s="1"/>
  <c r="F7" i="10"/>
  <c r="C7" i="10"/>
  <c r="B7" i="10"/>
  <c r="A7" i="10"/>
  <c r="AH6" i="10"/>
  <c r="AJ6" i="10" s="1"/>
  <c r="AL6" i="10" s="1"/>
  <c r="AG6" i="10"/>
  <c r="L6" i="10"/>
  <c r="N6" i="10" s="1"/>
  <c r="P6" i="10" s="1"/>
  <c r="K6" i="10"/>
  <c r="J6" i="10"/>
  <c r="I6" i="10"/>
  <c r="F6" i="10"/>
  <c r="C6" i="10"/>
  <c r="B6" i="10"/>
  <c r="A6" i="10"/>
  <c r="AH5" i="10"/>
  <c r="AJ5" i="10" s="1"/>
  <c r="AL5" i="10" s="1"/>
  <c r="AN5" i="10" s="1"/>
  <c r="N5" i="10"/>
  <c r="P5" i="10" s="1"/>
  <c r="R5" i="10" s="1"/>
  <c r="T5" i="10" s="1"/>
  <c r="V5" i="10" s="1"/>
  <c r="X5" i="10" s="1"/>
  <c r="Z5" i="10" s="1"/>
  <c r="AB5" i="10" s="1"/>
  <c r="AD5" i="10" s="1"/>
  <c r="M5" i="10"/>
  <c r="L5" i="10"/>
  <c r="J5" i="10"/>
  <c r="F5" i="10"/>
  <c r="E5" i="10"/>
  <c r="C5" i="10"/>
  <c r="B5" i="10"/>
  <c r="A5" i="10"/>
  <c r="AL4" i="10"/>
  <c r="AN4" i="10" s="1"/>
  <c r="AP4" i="10" s="1"/>
  <c r="AR4" i="10" s="1"/>
  <c r="AT4" i="10" s="1"/>
  <c r="AV4" i="10" s="1"/>
  <c r="AJ4" i="10"/>
  <c r="AH4" i="10"/>
  <c r="AG4" i="10"/>
  <c r="L4" i="10"/>
  <c r="N4" i="10" s="1"/>
  <c r="P4" i="10" s="1"/>
  <c r="R4" i="10" s="1"/>
  <c r="T4" i="10" s="1"/>
  <c r="V4" i="10" s="1"/>
  <c r="X4" i="10" s="1"/>
  <c r="K4" i="10"/>
  <c r="J4" i="10"/>
  <c r="F4" i="10"/>
  <c r="C4" i="10"/>
  <c r="B4" i="10"/>
  <c r="A4" i="10"/>
  <c r="AJ3" i="10"/>
  <c r="AL3" i="10" s="1"/>
  <c r="AI3" i="10"/>
  <c r="AH3" i="10"/>
  <c r="J3" i="10"/>
  <c r="L3" i="10" s="1"/>
  <c r="N3" i="10" s="1"/>
  <c r="P3" i="10" s="1"/>
  <c r="R3" i="10" s="1"/>
  <c r="G3" i="10"/>
  <c r="F3" i="10"/>
  <c r="E3" i="10"/>
  <c r="C3" i="10"/>
  <c r="B3" i="10"/>
  <c r="A3" i="10"/>
  <c r="CD12" i="8"/>
  <c r="CA12" i="8"/>
  <c r="BR12" i="8"/>
  <c r="BL12" i="8"/>
  <c r="BL11" i="8" s="1"/>
  <c r="BI12" i="8"/>
  <c r="BI11" i="8" s="1"/>
  <c r="BF12" i="8"/>
  <c r="BF11" i="8" s="1"/>
  <c r="AT12" i="8"/>
  <c r="AH12" i="8"/>
  <c r="AH11" i="8" s="1"/>
  <c r="AE12" i="8"/>
  <c r="AE11" i="8" s="1"/>
  <c r="G12" i="8"/>
  <c r="CD11" i="8"/>
  <c r="CC11" i="8"/>
  <c r="CA11" i="8"/>
  <c r="BZ11" i="8"/>
  <c r="BW11" i="8"/>
  <c r="BT11" i="8"/>
  <c r="BR11" i="8"/>
  <c r="BQ11" i="8"/>
  <c r="BN11" i="8"/>
  <c r="BK11" i="8"/>
  <c r="BH11" i="8"/>
  <c r="BE11" i="8"/>
  <c r="BB11" i="8"/>
  <c r="AY11" i="8"/>
  <c r="AV11" i="8"/>
  <c r="AT11" i="8"/>
  <c r="AS11" i="8"/>
  <c r="AP11" i="8"/>
  <c r="AM11" i="8"/>
  <c r="AJ11" i="8"/>
  <c r="AG11" i="8"/>
  <c r="AD11" i="8"/>
  <c r="AA11" i="8"/>
  <c r="X11" i="8"/>
  <c r="U11" i="8"/>
  <c r="R11" i="8"/>
  <c r="O11" i="8"/>
  <c r="L11" i="8"/>
  <c r="I11" i="8"/>
  <c r="F11" i="8"/>
  <c r="B11" i="8"/>
  <c r="CD10" i="8"/>
  <c r="BI10" i="8"/>
  <c r="BI9" i="8" s="1"/>
  <c r="BF10" i="8"/>
  <c r="BF9" i="8" s="1"/>
  <c r="AZ10" i="8"/>
  <c r="AQ10" i="8"/>
  <c r="AQ9" i="8" s="1"/>
  <c r="AN10" i="8"/>
  <c r="AN9" i="8" s="1"/>
  <c r="AK10" i="8"/>
  <c r="AK9" i="8" s="1"/>
  <c r="AE10" i="8"/>
  <c r="AE9" i="8" s="1"/>
  <c r="AB10" i="8"/>
  <c r="AB9" i="8" s="1"/>
  <c r="CD9" i="8"/>
  <c r="CC9" i="8"/>
  <c r="BZ9" i="8"/>
  <c r="BW9" i="8"/>
  <c r="BT9" i="8"/>
  <c r="BR9" i="8"/>
  <c r="BQ9" i="8"/>
  <c r="BN9" i="8"/>
  <c r="BK9" i="8"/>
  <c r="BH9" i="8"/>
  <c r="BE9" i="8"/>
  <c r="BB9" i="8"/>
  <c r="AZ9" i="8"/>
  <c r="AY9" i="8"/>
  <c r="AV9" i="8"/>
  <c r="AS9" i="8"/>
  <c r="AP9" i="8"/>
  <c r="AM9" i="8"/>
  <c r="AJ9" i="8"/>
  <c r="AG9" i="8"/>
  <c r="AD9" i="8"/>
  <c r="AA9" i="8"/>
  <c r="X9" i="8"/>
  <c r="U9" i="8"/>
  <c r="R9" i="8"/>
  <c r="O9" i="8"/>
  <c r="M9" i="8"/>
  <c r="L9" i="8"/>
  <c r="J9" i="8"/>
  <c r="I9" i="8"/>
  <c r="F9" i="8"/>
  <c r="B9" i="8"/>
  <c r="CD8" i="8"/>
  <c r="BR8" i="8"/>
  <c r="BR7" i="8" s="1"/>
  <c r="BO8" i="8"/>
  <c r="BO7" i="8" s="1"/>
  <c r="BL8" i="8"/>
  <c r="BL7" i="8" s="1"/>
  <c r="BI8" i="8"/>
  <c r="BI7" i="8" s="1"/>
  <c r="BF8" i="8"/>
  <c r="BF7" i="8" s="1"/>
  <c r="BC8" i="8"/>
  <c r="BC7" i="8" s="1"/>
  <c r="AZ8" i="8"/>
  <c r="J8" i="8"/>
  <c r="J7" i="8" s="1"/>
  <c r="G8" i="8"/>
  <c r="G7" i="8" s="1"/>
  <c r="B8" i="8"/>
  <c r="CC7" i="8"/>
  <c r="CD7" i="8" s="1"/>
  <c r="BZ7" i="8"/>
  <c r="BW7" i="8"/>
  <c r="BT7" i="8"/>
  <c r="BQ7" i="8"/>
  <c r="BN7" i="8"/>
  <c r="BK7" i="8"/>
  <c r="BH7" i="8"/>
  <c r="BE7" i="8"/>
  <c r="BB7" i="8"/>
  <c r="AZ7" i="8"/>
  <c r="AY7" i="8"/>
  <c r="AV7" i="8"/>
  <c r="AS7" i="8"/>
  <c r="AP7" i="8"/>
  <c r="AM7" i="8"/>
  <c r="AJ7" i="8"/>
  <c r="AG7" i="8"/>
  <c r="AD7" i="8"/>
  <c r="AA7" i="8"/>
  <c r="X7" i="8"/>
  <c r="U7" i="8"/>
  <c r="R7" i="8"/>
  <c r="O7" i="8"/>
  <c r="L7" i="8"/>
  <c r="I7" i="8"/>
  <c r="F7" i="8"/>
  <c r="B7" i="8"/>
  <c r="CD6" i="8"/>
  <c r="BU6" i="8"/>
  <c r="AQ6" i="8"/>
  <c r="AN6" i="8"/>
  <c r="AK6" i="8"/>
  <c r="J6" i="8"/>
  <c r="B6" i="8"/>
  <c r="CC5" i="8"/>
  <c r="BZ5" i="8"/>
  <c r="BW5" i="8"/>
  <c r="BT5" i="8"/>
  <c r="BQ5" i="8"/>
  <c r="BN5" i="8"/>
  <c r="BK5" i="8"/>
  <c r="BH5" i="8"/>
  <c r="BE5" i="8"/>
  <c r="BB5" i="8"/>
  <c r="AY5" i="8"/>
  <c r="AV5" i="8"/>
  <c r="AS5" i="8"/>
  <c r="AP5" i="8"/>
  <c r="AM5" i="8"/>
  <c r="AJ5" i="8"/>
  <c r="AG5" i="8"/>
  <c r="AD5" i="8"/>
  <c r="AA5" i="8"/>
  <c r="X5" i="8"/>
  <c r="U5" i="8"/>
  <c r="R5" i="8"/>
  <c r="O5" i="8"/>
  <c r="L5" i="8"/>
  <c r="I5" i="8"/>
  <c r="F5" i="8"/>
  <c r="CD4" i="8"/>
  <c r="BR4" i="8"/>
  <c r="BL4" i="8"/>
  <c r="BI4" i="8"/>
  <c r="G4" i="8"/>
  <c r="B4" i="8"/>
  <c r="CD3" i="8"/>
  <c r="CC3" i="8"/>
  <c r="BZ3" i="8"/>
  <c r="BW3" i="8"/>
  <c r="BT3" i="8"/>
  <c r="BQ3" i="8"/>
  <c r="BR3" i="8" s="1"/>
  <c r="BN3" i="8"/>
  <c r="BK3" i="8"/>
  <c r="BH3" i="8"/>
  <c r="BE3" i="8"/>
  <c r="BB3" i="8"/>
  <c r="AY3" i="8"/>
  <c r="AV3" i="8"/>
  <c r="AS3" i="8"/>
  <c r="AP3" i="8"/>
  <c r="AM3" i="8"/>
  <c r="AJ3" i="8"/>
  <c r="AG3" i="8"/>
  <c r="AD3" i="8"/>
  <c r="AA3" i="8"/>
  <c r="X3" i="8"/>
  <c r="U3" i="8"/>
  <c r="R3" i="8"/>
  <c r="O3" i="8"/>
  <c r="L3" i="8"/>
  <c r="I3" i="8"/>
  <c r="F3" i="8"/>
  <c r="G3" i="8" s="1"/>
  <c r="B3" i="8"/>
  <c r="B2" i="8"/>
  <c r="B1" i="8"/>
  <c r="CD12" i="7"/>
  <c r="CA12" i="7"/>
  <c r="CA11" i="7" s="1"/>
  <c r="BC12" i="7"/>
  <c r="AW12" i="7"/>
  <c r="AE12" i="7"/>
  <c r="V12" i="7"/>
  <c r="P12" i="7"/>
  <c r="P11" i="7" s="1"/>
  <c r="J12" i="7"/>
  <c r="J11" i="7" s="1"/>
  <c r="G12" i="7"/>
  <c r="B12" i="7"/>
  <c r="CD11" i="7"/>
  <c r="CC11" i="7"/>
  <c r="BZ11" i="7"/>
  <c r="BW11" i="7"/>
  <c r="BT11" i="7"/>
  <c r="BQ11" i="7"/>
  <c r="BN11" i="7"/>
  <c r="BK11" i="7"/>
  <c r="BH11" i="7"/>
  <c r="BE11" i="7"/>
  <c r="BC11" i="7"/>
  <c r="BB11" i="7"/>
  <c r="AY11" i="7"/>
  <c r="AW11" i="7"/>
  <c r="AV11" i="7"/>
  <c r="AS11" i="7"/>
  <c r="AP11" i="7"/>
  <c r="AM11" i="7"/>
  <c r="AJ11" i="7"/>
  <c r="AH11" i="7"/>
  <c r="AG11" i="7"/>
  <c r="AE11" i="7"/>
  <c r="AD11" i="7"/>
  <c r="AA11" i="7"/>
  <c r="X11" i="7"/>
  <c r="V11" i="7"/>
  <c r="U11" i="7"/>
  <c r="R11" i="7"/>
  <c r="O11" i="7"/>
  <c r="L11" i="7"/>
  <c r="I11" i="7"/>
  <c r="F11" i="7"/>
  <c r="CD10" i="7"/>
  <c r="CD9" i="7" s="1"/>
  <c r="BR10" i="7"/>
  <c r="BR9" i="7" s="1"/>
  <c r="BO10" i="7"/>
  <c r="BO9" i="7" s="1"/>
  <c r="BL10" i="7"/>
  <c r="BL9" i="7" s="1"/>
  <c r="BI10" i="7"/>
  <c r="BI9" i="7" s="1"/>
  <c r="BF10" i="7"/>
  <c r="BF9" i="7" s="1"/>
  <c r="AN10" i="7"/>
  <c r="AK10" i="7"/>
  <c r="P10" i="7"/>
  <c r="P9" i="7" s="1"/>
  <c r="M10" i="7"/>
  <c r="M9" i="7" s="1"/>
  <c r="J10" i="7"/>
  <c r="J9" i="7" s="1"/>
  <c r="G10" i="7"/>
  <c r="CC9" i="7"/>
  <c r="BZ9" i="7"/>
  <c r="BW9" i="7"/>
  <c r="BT9" i="7"/>
  <c r="BQ9" i="7"/>
  <c r="BN9" i="7"/>
  <c r="BK9" i="7"/>
  <c r="BH9" i="7"/>
  <c r="BE9" i="7"/>
  <c r="BB9" i="7"/>
  <c r="AY9" i="7"/>
  <c r="AV9" i="7"/>
  <c r="AS9" i="7"/>
  <c r="AP9" i="7"/>
  <c r="AN9" i="7"/>
  <c r="AM9" i="7"/>
  <c r="AK9" i="7"/>
  <c r="AJ9" i="7"/>
  <c r="AG9" i="7"/>
  <c r="AD9" i="7"/>
  <c r="AA9" i="7"/>
  <c r="X9" i="7"/>
  <c r="U9" i="7"/>
  <c r="R9" i="7"/>
  <c r="O9" i="7"/>
  <c r="L9" i="7"/>
  <c r="I9" i="7"/>
  <c r="F9" i="7"/>
  <c r="B9" i="7"/>
  <c r="CD8" i="7"/>
  <c r="CA8" i="7"/>
  <c r="CA7" i="7" s="1"/>
  <c r="AT8" i="7"/>
  <c r="AT7" i="7" s="1"/>
  <c r="Y8" i="7"/>
  <c r="Y7" i="7" s="1"/>
  <c r="V8" i="7"/>
  <c r="V7" i="7" s="1"/>
  <c r="P8" i="7"/>
  <c r="P7" i="7" s="1"/>
  <c r="M8" i="7"/>
  <c r="M7" i="7" s="1"/>
  <c r="B8" i="7"/>
  <c r="CD7" i="7"/>
  <c r="CC7" i="7"/>
  <c r="BZ7" i="7"/>
  <c r="BW7" i="7"/>
  <c r="BT7" i="7"/>
  <c r="BQ7" i="7"/>
  <c r="BN7" i="7"/>
  <c r="BK7" i="7"/>
  <c r="BH7" i="7"/>
  <c r="BE7" i="7"/>
  <c r="BB7" i="7"/>
  <c r="AY7" i="7"/>
  <c r="AV7" i="7"/>
  <c r="AS7" i="7"/>
  <c r="AP7" i="7"/>
  <c r="AM7" i="7"/>
  <c r="AJ7" i="7"/>
  <c r="AG7" i="7"/>
  <c r="AD7" i="7"/>
  <c r="AA7" i="7"/>
  <c r="X7" i="7"/>
  <c r="U7" i="7"/>
  <c r="R7" i="7"/>
  <c r="O7" i="7"/>
  <c r="L7" i="7"/>
  <c r="I7" i="7"/>
  <c r="F7" i="7"/>
  <c r="B7" i="7"/>
  <c r="CD6" i="7"/>
  <c r="BU6" i="7"/>
  <c r="BR6" i="7"/>
  <c r="BL6" i="7"/>
  <c r="Y6" i="7"/>
  <c r="V6" i="7"/>
  <c r="S6" i="7"/>
  <c r="P6" i="7"/>
  <c r="B6" i="7"/>
  <c r="CC5" i="7"/>
  <c r="BZ5" i="7"/>
  <c r="BW5" i="7"/>
  <c r="BT5" i="7"/>
  <c r="BQ5" i="7"/>
  <c r="BN5" i="7"/>
  <c r="BK5" i="7"/>
  <c r="BH5" i="7"/>
  <c r="BE5" i="7"/>
  <c r="BB5" i="7"/>
  <c r="AY5" i="7"/>
  <c r="AV5" i="7"/>
  <c r="AS5" i="7"/>
  <c r="AP5" i="7"/>
  <c r="AM5" i="7"/>
  <c r="AJ5" i="7"/>
  <c r="AG5" i="7"/>
  <c r="AD5" i="7"/>
  <c r="AA5" i="7"/>
  <c r="X5" i="7"/>
  <c r="U5" i="7"/>
  <c r="R5" i="7"/>
  <c r="O5" i="7"/>
  <c r="L5" i="7"/>
  <c r="I5" i="7"/>
  <c r="F5" i="7"/>
  <c r="CD4" i="7"/>
  <c r="BX4" i="7"/>
  <c r="BX3" i="7" s="1"/>
  <c r="AB4" i="7"/>
  <c r="Y4" i="7"/>
  <c r="V4" i="7"/>
  <c r="S4" i="7"/>
  <c r="S3" i="7" s="1"/>
  <c r="M4" i="7"/>
  <c r="G4" i="7"/>
  <c r="B4" i="7"/>
  <c r="CD3" i="7"/>
  <c r="CC3" i="7"/>
  <c r="BZ3" i="7"/>
  <c r="BW3" i="7"/>
  <c r="BT3" i="7"/>
  <c r="BQ3" i="7"/>
  <c r="BN3" i="7"/>
  <c r="BK3" i="7"/>
  <c r="BH3" i="7"/>
  <c r="BE3" i="7"/>
  <c r="BB3" i="7"/>
  <c r="AY3" i="7"/>
  <c r="AV3" i="7"/>
  <c r="AS3" i="7"/>
  <c r="AP3" i="7"/>
  <c r="AM3" i="7"/>
  <c r="AJ3" i="7"/>
  <c r="AG3" i="7"/>
  <c r="AD3" i="7"/>
  <c r="AB3" i="7"/>
  <c r="AA3" i="7"/>
  <c r="X3" i="7"/>
  <c r="U3" i="7"/>
  <c r="R3" i="7"/>
  <c r="O3" i="7"/>
  <c r="L3" i="7"/>
  <c r="M3" i="7" s="1"/>
  <c r="I3" i="7"/>
  <c r="F3" i="7"/>
  <c r="B3" i="7"/>
  <c r="B2" i="7"/>
  <c r="B1" i="7"/>
  <c r="CD12" i="6"/>
  <c r="CA12" i="6"/>
  <c r="BF12" i="6"/>
  <c r="BF11" i="6" s="1"/>
  <c r="BC12" i="6"/>
  <c r="BC11" i="6" s="1"/>
  <c r="AZ12" i="6"/>
  <c r="AZ11" i="6" s="1"/>
  <c r="AW12" i="6"/>
  <c r="AT12" i="6"/>
  <c r="AT11" i="6" s="1"/>
  <c r="G12" i="6"/>
  <c r="CD11" i="6"/>
  <c r="CC11" i="6"/>
  <c r="CA11" i="6"/>
  <c r="BZ11" i="6"/>
  <c r="BW11" i="6"/>
  <c r="BT11" i="6"/>
  <c r="BQ11" i="6"/>
  <c r="BN11" i="6"/>
  <c r="BK11" i="6"/>
  <c r="BH11" i="6"/>
  <c r="BE11" i="6"/>
  <c r="BB11" i="6"/>
  <c r="AY11" i="6"/>
  <c r="AW11" i="6"/>
  <c r="AV11" i="6"/>
  <c r="AS11" i="6"/>
  <c r="AP11" i="6"/>
  <c r="AM11" i="6"/>
  <c r="AJ11" i="6"/>
  <c r="AG11" i="6"/>
  <c r="AD11" i="6"/>
  <c r="AA11" i="6"/>
  <c r="X11" i="6"/>
  <c r="U11" i="6"/>
  <c r="R11" i="6"/>
  <c r="O11" i="6"/>
  <c r="L11" i="6"/>
  <c r="I11" i="6"/>
  <c r="F11" i="6"/>
  <c r="CD10" i="6"/>
  <c r="CD9" i="6" s="1"/>
  <c r="BX10" i="6"/>
  <c r="BU10" i="6"/>
  <c r="BU9" i="6" s="1"/>
  <c r="BR10" i="6"/>
  <c r="BR9" i="6" s="1"/>
  <c r="BO10" i="6"/>
  <c r="BO9" i="6" s="1"/>
  <c r="BI10" i="6"/>
  <c r="BF10" i="6"/>
  <c r="BF9" i="6" s="1"/>
  <c r="AN10" i="6"/>
  <c r="AN9" i="6" s="1"/>
  <c r="AK10" i="6"/>
  <c r="AK9" i="6" s="1"/>
  <c r="S10" i="6"/>
  <c r="S9" i="6" s="1"/>
  <c r="P10" i="6"/>
  <c r="P9" i="6" s="1"/>
  <c r="M10" i="6"/>
  <c r="J10" i="6"/>
  <c r="J9" i="6" s="1"/>
  <c r="G10" i="6"/>
  <c r="CC9" i="6"/>
  <c r="BZ9" i="6"/>
  <c r="BX9" i="6"/>
  <c r="BW9" i="6"/>
  <c r="BT9" i="6"/>
  <c r="BQ9" i="6"/>
  <c r="BN9" i="6"/>
  <c r="BK9" i="6"/>
  <c r="BI9" i="6"/>
  <c r="BH9" i="6"/>
  <c r="BE9" i="6"/>
  <c r="BB9" i="6"/>
  <c r="AY9" i="6"/>
  <c r="AV9" i="6"/>
  <c r="AS9" i="6"/>
  <c r="AP9" i="6"/>
  <c r="AM9" i="6"/>
  <c r="AJ9" i="6"/>
  <c r="AG9" i="6"/>
  <c r="AD9" i="6"/>
  <c r="AB9" i="6"/>
  <c r="AA9" i="6"/>
  <c r="X9" i="6"/>
  <c r="U9" i="6"/>
  <c r="R9" i="6"/>
  <c r="O9" i="6"/>
  <c r="M9" i="6"/>
  <c r="L9" i="6"/>
  <c r="I9" i="6"/>
  <c r="F9" i="6"/>
  <c r="B9" i="6"/>
  <c r="CD8" i="6"/>
  <c r="CD7" i="6" s="1"/>
  <c r="CA8" i="6"/>
  <c r="CA7" i="6" s="1"/>
  <c r="BU8" i="6"/>
  <c r="BU7" i="6" s="1"/>
  <c r="BR8" i="6"/>
  <c r="BR7" i="6" s="1"/>
  <c r="BO8" i="6"/>
  <c r="AH8" i="6"/>
  <c r="AH7" i="6" s="1"/>
  <c r="AE8" i="6"/>
  <c r="AE7" i="6" s="1"/>
  <c r="B8" i="6"/>
  <c r="CC7" i="6"/>
  <c r="BZ7" i="6"/>
  <c r="BW7" i="6"/>
  <c r="BT7" i="6"/>
  <c r="BQ7" i="6"/>
  <c r="BN7" i="6"/>
  <c r="BO7" i="6" s="1"/>
  <c r="BK7" i="6"/>
  <c r="BH7" i="6"/>
  <c r="BE7" i="6"/>
  <c r="BB7" i="6"/>
  <c r="AY7" i="6"/>
  <c r="AV7" i="6"/>
  <c r="AS7" i="6"/>
  <c r="AP7" i="6"/>
  <c r="AM7" i="6"/>
  <c r="AJ7" i="6"/>
  <c r="AG7" i="6"/>
  <c r="AD7" i="6"/>
  <c r="AA7" i="6"/>
  <c r="X7" i="6"/>
  <c r="U7" i="6"/>
  <c r="R7" i="6"/>
  <c r="O7" i="6"/>
  <c r="L7" i="6"/>
  <c r="I7" i="6"/>
  <c r="F7" i="6"/>
  <c r="B7" i="6"/>
  <c r="CD6" i="6"/>
  <c r="BR6" i="6"/>
  <c r="BL6" i="6"/>
  <c r="BC6" i="6"/>
  <c r="AZ6" i="6"/>
  <c r="AW6" i="6"/>
  <c r="AK6" i="6"/>
  <c r="M6" i="6"/>
  <c r="J6" i="6"/>
  <c r="B6" i="6"/>
  <c r="CC5" i="6"/>
  <c r="BZ5" i="6"/>
  <c r="BW5" i="6"/>
  <c r="BT5" i="6"/>
  <c r="BQ5" i="6"/>
  <c r="BN5" i="6"/>
  <c r="BK5" i="6"/>
  <c r="BH5" i="6"/>
  <c r="BE5" i="6"/>
  <c r="BB5" i="6"/>
  <c r="AY5" i="6"/>
  <c r="AV5" i="6"/>
  <c r="AS5" i="6"/>
  <c r="AP5" i="6"/>
  <c r="AM5" i="6"/>
  <c r="AJ5" i="6"/>
  <c r="AG5" i="6"/>
  <c r="AD5" i="6"/>
  <c r="AA5" i="6"/>
  <c r="X5" i="6"/>
  <c r="U5" i="6"/>
  <c r="R5" i="6"/>
  <c r="O5" i="6"/>
  <c r="L5" i="6"/>
  <c r="I5" i="6"/>
  <c r="F5" i="6"/>
  <c r="CD4" i="6"/>
  <c r="BX4" i="6"/>
  <c r="BX3" i="6" s="1"/>
  <c r="BU4" i="6"/>
  <c r="BR4" i="6"/>
  <c r="BO4" i="6"/>
  <c r="BO3" i="6" s="1"/>
  <c r="BL4" i="6"/>
  <c r="BI4" i="6"/>
  <c r="AB4" i="6"/>
  <c r="Y4" i="6"/>
  <c r="V4" i="6"/>
  <c r="S4" i="6"/>
  <c r="B4" i="6"/>
  <c r="CC3" i="6"/>
  <c r="CD3" i="6" s="1"/>
  <c r="BZ3" i="6"/>
  <c r="BW3" i="6"/>
  <c r="BT3" i="6"/>
  <c r="BQ3" i="6"/>
  <c r="BN3" i="6"/>
  <c r="BK3" i="6"/>
  <c r="BL3" i="6" s="1"/>
  <c r="BH3" i="6"/>
  <c r="BE3" i="6"/>
  <c r="BB3" i="6"/>
  <c r="AY3" i="6"/>
  <c r="AV3" i="6"/>
  <c r="AS3" i="6"/>
  <c r="AP3" i="6"/>
  <c r="AM3" i="6"/>
  <c r="AJ3" i="6"/>
  <c r="AG3" i="6"/>
  <c r="AD3" i="6"/>
  <c r="AB3" i="6"/>
  <c r="AA3" i="6"/>
  <c r="Y3" i="6"/>
  <c r="X3" i="6"/>
  <c r="V3" i="6"/>
  <c r="U3" i="6"/>
  <c r="R3" i="6"/>
  <c r="S3" i="6" s="1"/>
  <c r="O3" i="6"/>
  <c r="L3" i="6"/>
  <c r="I3" i="6"/>
  <c r="F3" i="6"/>
  <c r="B3" i="6"/>
  <c r="B2" i="6"/>
  <c r="B1" i="6"/>
  <c r="CD12" i="5"/>
  <c r="CD11" i="5" s="1"/>
  <c r="CA12" i="5"/>
  <c r="CA11" i="5" s="1"/>
  <c r="BC12" i="5"/>
  <c r="BC11" i="5" s="1"/>
  <c r="AZ12" i="5"/>
  <c r="AZ11" i="5" s="1"/>
  <c r="AW12" i="5"/>
  <c r="AW11" i="5" s="1"/>
  <c r="AH12" i="5"/>
  <c r="AH11" i="5" s="1"/>
  <c r="AE12" i="5"/>
  <c r="AE11" i="5" s="1"/>
  <c r="V12" i="5"/>
  <c r="V11" i="5" s="1"/>
  <c r="P12" i="5"/>
  <c r="G12" i="5"/>
  <c r="CC11" i="5"/>
  <c r="BZ11" i="5"/>
  <c r="BW11" i="5"/>
  <c r="BT11" i="5"/>
  <c r="BQ11" i="5"/>
  <c r="BN11" i="5"/>
  <c r="BL11" i="5"/>
  <c r="BK11" i="5"/>
  <c r="BH11" i="5"/>
  <c r="BE11" i="5"/>
  <c r="BB11" i="5"/>
  <c r="AY11" i="5"/>
  <c r="AV11" i="5"/>
  <c r="AT11" i="5"/>
  <c r="AS11" i="5"/>
  <c r="AP11" i="5"/>
  <c r="AM11" i="5"/>
  <c r="AJ11" i="5"/>
  <c r="AG11" i="5"/>
  <c r="AD11" i="5"/>
  <c r="AA11" i="5"/>
  <c r="X11" i="5"/>
  <c r="U11" i="5"/>
  <c r="R11" i="5"/>
  <c r="P11" i="5"/>
  <c r="O11" i="5"/>
  <c r="L11" i="5"/>
  <c r="I11" i="5"/>
  <c r="F11" i="5"/>
  <c r="B11" i="5"/>
  <c r="CD10" i="5"/>
  <c r="BX10" i="5"/>
  <c r="BX9" i="5" s="1"/>
  <c r="BR10" i="5"/>
  <c r="BR9" i="5" s="1"/>
  <c r="BI10" i="5"/>
  <c r="BF10" i="5"/>
  <c r="BC10" i="5"/>
  <c r="AZ10" i="5"/>
  <c r="AZ9" i="5" s="1"/>
  <c r="AB10" i="5"/>
  <c r="AB9" i="5" s="1"/>
  <c r="Y10" i="5"/>
  <c r="V10" i="5"/>
  <c r="V9" i="5" s="1"/>
  <c r="S10" i="5"/>
  <c r="S9" i="5" s="1"/>
  <c r="P10" i="5"/>
  <c r="P9" i="5" s="1"/>
  <c r="M10" i="5"/>
  <c r="J10" i="5"/>
  <c r="J9" i="5" s="1"/>
  <c r="G10" i="5"/>
  <c r="G9" i="5" s="1"/>
  <c r="CD9" i="5"/>
  <c r="CC9" i="5"/>
  <c r="BZ9" i="5"/>
  <c r="BW9" i="5"/>
  <c r="BT9" i="5"/>
  <c r="BQ9" i="5"/>
  <c r="BN9" i="5"/>
  <c r="BK9" i="5"/>
  <c r="BI9" i="5"/>
  <c r="BH9" i="5"/>
  <c r="BF9" i="5"/>
  <c r="BE9" i="5"/>
  <c r="BC9" i="5"/>
  <c r="BB9" i="5"/>
  <c r="AY9" i="5"/>
  <c r="AV9" i="5"/>
  <c r="AS9" i="5"/>
  <c r="AP9" i="5"/>
  <c r="AM9" i="5"/>
  <c r="AJ9" i="5"/>
  <c r="AG9" i="5"/>
  <c r="AD9" i="5"/>
  <c r="AA9" i="5"/>
  <c r="Y9" i="5"/>
  <c r="X9" i="5"/>
  <c r="U9" i="5"/>
  <c r="R9" i="5"/>
  <c r="O9" i="5"/>
  <c r="L9" i="5"/>
  <c r="I9" i="5"/>
  <c r="F9" i="5"/>
  <c r="B9" i="5"/>
  <c r="CD8" i="5"/>
  <c r="BU8" i="5"/>
  <c r="BU7" i="5" s="1"/>
  <c r="BF8" i="5"/>
  <c r="BF7" i="5" s="1"/>
  <c r="BC8" i="5"/>
  <c r="AZ8" i="5"/>
  <c r="AT8" i="5"/>
  <c r="AT7" i="5" s="1"/>
  <c r="AN8" i="5"/>
  <c r="AN7" i="5" s="1"/>
  <c r="B8" i="5"/>
  <c r="CD7" i="5"/>
  <c r="CC7" i="5"/>
  <c r="BZ7" i="5"/>
  <c r="BW7" i="5"/>
  <c r="BT7" i="5"/>
  <c r="BQ7" i="5"/>
  <c r="BN7" i="5"/>
  <c r="BK7" i="5"/>
  <c r="BH7" i="5"/>
  <c r="BE7" i="5"/>
  <c r="BB7" i="5"/>
  <c r="AZ7" i="5"/>
  <c r="AY7" i="5"/>
  <c r="AV7" i="5"/>
  <c r="AS7" i="5"/>
  <c r="AP7" i="5"/>
  <c r="AM7" i="5"/>
  <c r="AJ7" i="5"/>
  <c r="AG7" i="5"/>
  <c r="AD7" i="5"/>
  <c r="AA7" i="5"/>
  <c r="X7" i="5"/>
  <c r="U7" i="5"/>
  <c r="R7" i="5"/>
  <c r="O7" i="5"/>
  <c r="L7" i="5"/>
  <c r="I7" i="5"/>
  <c r="F7" i="5"/>
  <c r="B7" i="5"/>
  <c r="CD6" i="5"/>
  <c r="BR6" i="5"/>
  <c r="BL6" i="5"/>
  <c r="BI6" i="5"/>
  <c r="BC6" i="5"/>
  <c r="AN6" i="5"/>
  <c r="V6" i="5"/>
  <c r="S6" i="5"/>
  <c r="P6" i="5"/>
  <c r="B6" i="5"/>
  <c r="CC5" i="5"/>
  <c r="BZ5" i="5"/>
  <c r="BW5" i="5"/>
  <c r="BT5" i="5"/>
  <c r="BQ5" i="5"/>
  <c r="BN5" i="5"/>
  <c r="BK5" i="5"/>
  <c r="BH5" i="5"/>
  <c r="BE5" i="5"/>
  <c r="BB5" i="5"/>
  <c r="AY5" i="5"/>
  <c r="AV5" i="5"/>
  <c r="AS5" i="5"/>
  <c r="AP5" i="5"/>
  <c r="AM5" i="5"/>
  <c r="AJ5" i="5"/>
  <c r="AG5" i="5"/>
  <c r="AD5" i="5"/>
  <c r="AA5" i="5"/>
  <c r="X5" i="5"/>
  <c r="U5" i="5"/>
  <c r="R5" i="5"/>
  <c r="O5" i="5"/>
  <c r="L5" i="5"/>
  <c r="I5" i="5"/>
  <c r="F5" i="5"/>
  <c r="CD4" i="5"/>
  <c r="CD3" i="5" s="1"/>
  <c r="CA4" i="5"/>
  <c r="BX4" i="5"/>
  <c r="BU4" i="5"/>
  <c r="AE4" i="5"/>
  <c r="Y4" i="5"/>
  <c r="S4" i="5"/>
  <c r="P4" i="5"/>
  <c r="M4" i="5"/>
  <c r="M3" i="5" s="1"/>
  <c r="B4" i="5"/>
  <c r="CC3" i="5"/>
  <c r="BZ3" i="5"/>
  <c r="BW3" i="5"/>
  <c r="BT3" i="5"/>
  <c r="BU3" i="5" s="1"/>
  <c r="BQ3" i="5"/>
  <c r="BN3" i="5"/>
  <c r="BK3" i="5"/>
  <c r="BH3" i="5"/>
  <c r="BE3" i="5"/>
  <c r="BB3" i="5"/>
  <c r="AY3" i="5"/>
  <c r="AV3" i="5"/>
  <c r="AS3" i="5"/>
  <c r="AP3" i="5"/>
  <c r="AM3" i="5"/>
  <c r="AJ3" i="5"/>
  <c r="AG3" i="5"/>
  <c r="AD3" i="5"/>
  <c r="AE3" i="5" s="1"/>
  <c r="AA3" i="5"/>
  <c r="Y3" i="5"/>
  <c r="X3" i="5"/>
  <c r="U3" i="5"/>
  <c r="R3" i="5"/>
  <c r="S3" i="5" s="1"/>
  <c r="P3" i="5"/>
  <c r="O3" i="5"/>
  <c r="L3" i="5"/>
  <c r="I3" i="5"/>
  <c r="F3" i="5"/>
  <c r="B3" i="5"/>
  <c r="B2" i="5"/>
  <c r="B1" i="5"/>
  <c r="CD12" i="4"/>
  <c r="CD11" i="4" s="1"/>
  <c r="CA12" i="4"/>
  <c r="CA11" i="4" s="1"/>
  <c r="BX12" i="4"/>
  <c r="BX11" i="4" s="1"/>
  <c r="BR12" i="4"/>
  <c r="BR11" i="4" s="1"/>
  <c r="BL12" i="4"/>
  <c r="BL11" i="4" s="1"/>
  <c r="BI12" i="4"/>
  <c r="AW12" i="4"/>
  <c r="AW11" i="4" s="1"/>
  <c r="AT12" i="4"/>
  <c r="AT11" i="4" s="1"/>
  <c r="AH12" i="4"/>
  <c r="AH11" i="4" s="1"/>
  <c r="AE12" i="4"/>
  <c r="V12" i="4"/>
  <c r="V11" i="4" s="1"/>
  <c r="P12" i="4"/>
  <c r="M12" i="4"/>
  <c r="J12" i="4"/>
  <c r="J11" i="4" s="1"/>
  <c r="CC11" i="4"/>
  <c r="BZ11" i="4"/>
  <c r="BW11" i="4"/>
  <c r="BT11" i="4"/>
  <c r="BQ11" i="4"/>
  <c r="BN11" i="4"/>
  <c r="BK11" i="4"/>
  <c r="BI11" i="4"/>
  <c r="BH11" i="4"/>
  <c r="BE11" i="4"/>
  <c r="BB11" i="4"/>
  <c r="AY11" i="4"/>
  <c r="AV11" i="4"/>
  <c r="AS11" i="4"/>
  <c r="AP11" i="4"/>
  <c r="AM11" i="4"/>
  <c r="AJ11" i="4"/>
  <c r="AG11" i="4"/>
  <c r="AE11" i="4"/>
  <c r="AD11" i="4"/>
  <c r="AA11" i="4"/>
  <c r="X11" i="4"/>
  <c r="U11" i="4"/>
  <c r="R11" i="4"/>
  <c r="P11" i="4"/>
  <c r="O11" i="4"/>
  <c r="M11" i="4"/>
  <c r="L11" i="4"/>
  <c r="I11" i="4"/>
  <c r="F11" i="4"/>
  <c r="CD10" i="4"/>
  <c r="CD9" i="4" s="1"/>
  <c r="BX10" i="4"/>
  <c r="BR10" i="4"/>
  <c r="BI10" i="4"/>
  <c r="BI9" i="4" s="1"/>
  <c r="BF10" i="4"/>
  <c r="BF9" i="4" s="1"/>
  <c r="BC10" i="4"/>
  <c r="BC9" i="4" s="1"/>
  <c r="AZ10" i="4"/>
  <c r="AZ9" i="4" s="1"/>
  <c r="AW10" i="4"/>
  <c r="AW9" i="4" s="1"/>
  <c r="AN10" i="4"/>
  <c r="AN9" i="4" s="1"/>
  <c r="AK10" i="4"/>
  <c r="AK9" i="4" s="1"/>
  <c r="AH10" i="4"/>
  <c r="AH9" i="4" s="1"/>
  <c r="AB10" i="4"/>
  <c r="V10" i="4"/>
  <c r="S10" i="4"/>
  <c r="P10" i="4"/>
  <c r="CC9" i="4"/>
  <c r="BZ9" i="4"/>
  <c r="BX9" i="4"/>
  <c r="BW9" i="4"/>
  <c r="BT9" i="4"/>
  <c r="BR9" i="4"/>
  <c r="BQ9" i="4"/>
  <c r="BN9" i="4"/>
  <c r="BK9" i="4"/>
  <c r="BH9" i="4"/>
  <c r="BE9" i="4"/>
  <c r="BB9" i="4"/>
  <c r="AY9" i="4"/>
  <c r="AV9" i="4"/>
  <c r="AS9" i="4"/>
  <c r="AP9" i="4"/>
  <c r="AM9" i="4"/>
  <c r="AJ9" i="4"/>
  <c r="AG9" i="4"/>
  <c r="AD9" i="4"/>
  <c r="AB9" i="4"/>
  <c r="AA9" i="4"/>
  <c r="X9" i="4"/>
  <c r="V9" i="4"/>
  <c r="U9" i="4"/>
  <c r="S9" i="4"/>
  <c r="R9" i="4"/>
  <c r="P9" i="4"/>
  <c r="O9" i="4"/>
  <c r="L9" i="4"/>
  <c r="I9" i="4"/>
  <c r="F9" i="4"/>
  <c r="B9" i="4"/>
  <c r="CD8" i="4"/>
  <c r="BI8" i="4"/>
  <c r="BI7" i="4" s="1"/>
  <c r="BF8" i="4"/>
  <c r="BF7" i="4" s="1"/>
  <c r="BC8" i="4"/>
  <c r="BC7" i="4" s="1"/>
  <c r="AZ8" i="4"/>
  <c r="AZ7" i="4" s="1"/>
  <c r="Y8" i="4"/>
  <c r="Y7" i="4" s="1"/>
  <c r="S8" i="4"/>
  <c r="S7" i="4" s="1"/>
  <c r="B8" i="4"/>
  <c r="CC7" i="4"/>
  <c r="CD7" i="4" s="1"/>
  <c r="BZ7" i="4"/>
  <c r="BW7" i="4"/>
  <c r="BT7" i="4"/>
  <c r="BQ7" i="4"/>
  <c r="BN7" i="4"/>
  <c r="BK7" i="4"/>
  <c r="BH7" i="4"/>
  <c r="BE7" i="4"/>
  <c r="BB7" i="4"/>
  <c r="AY7" i="4"/>
  <c r="AV7" i="4"/>
  <c r="AS7" i="4"/>
  <c r="AP7" i="4"/>
  <c r="AM7" i="4"/>
  <c r="AJ7" i="4"/>
  <c r="AG7" i="4"/>
  <c r="AD7" i="4"/>
  <c r="AA7" i="4"/>
  <c r="X7" i="4"/>
  <c r="U7" i="4"/>
  <c r="R7" i="4"/>
  <c r="O7" i="4"/>
  <c r="L7" i="4"/>
  <c r="I7" i="4"/>
  <c r="F7" i="4"/>
  <c r="B7" i="4"/>
  <c r="CD6" i="4"/>
  <c r="BO6" i="4"/>
  <c r="BL6" i="4"/>
  <c r="AQ6" i="4"/>
  <c r="B6" i="4"/>
  <c r="CC5" i="4"/>
  <c r="BZ5" i="4"/>
  <c r="BW5" i="4"/>
  <c r="BT5" i="4"/>
  <c r="BQ5" i="4"/>
  <c r="BN5" i="4"/>
  <c r="BK5" i="4"/>
  <c r="BH5" i="4"/>
  <c r="BE5" i="4"/>
  <c r="BB5" i="4"/>
  <c r="AY5" i="4"/>
  <c r="AV5" i="4"/>
  <c r="AS5" i="4"/>
  <c r="AP5" i="4"/>
  <c r="AM5" i="4"/>
  <c r="AJ5" i="4"/>
  <c r="AG5" i="4"/>
  <c r="AD5" i="4"/>
  <c r="AA5" i="4"/>
  <c r="X5" i="4"/>
  <c r="U5" i="4"/>
  <c r="R5" i="4"/>
  <c r="O5" i="4"/>
  <c r="L5" i="4"/>
  <c r="I5" i="4"/>
  <c r="F5" i="4"/>
  <c r="CD4" i="4"/>
  <c r="BU4" i="4"/>
  <c r="BL4" i="4"/>
  <c r="BI4" i="4"/>
  <c r="BI3" i="4" s="1"/>
  <c r="AW4" i="4"/>
  <c r="AT4" i="4"/>
  <c r="B4" i="4"/>
  <c r="CC3" i="4"/>
  <c r="CD3" i="4" s="1"/>
  <c r="BZ3" i="4"/>
  <c r="BW3" i="4"/>
  <c r="BT3" i="4"/>
  <c r="BU3" i="4" s="1"/>
  <c r="BQ3" i="4"/>
  <c r="BN3" i="4"/>
  <c r="BO3" i="4" s="1"/>
  <c r="BL3" i="4"/>
  <c r="BK3" i="4"/>
  <c r="BH3" i="4"/>
  <c r="BE3" i="4"/>
  <c r="BB3" i="4"/>
  <c r="AY3" i="4"/>
  <c r="AW3" i="4"/>
  <c r="AV3" i="4"/>
  <c r="AS3" i="4"/>
  <c r="AT3" i="4" s="1"/>
  <c r="AP3" i="4"/>
  <c r="AM3" i="4"/>
  <c r="AJ3" i="4"/>
  <c r="AG3" i="4"/>
  <c r="AD3" i="4"/>
  <c r="AA3" i="4"/>
  <c r="X3" i="4"/>
  <c r="U3" i="4"/>
  <c r="R3" i="4"/>
  <c r="O3" i="4"/>
  <c r="L3" i="4"/>
  <c r="I3" i="4"/>
  <c r="F3" i="4"/>
  <c r="B3" i="4"/>
  <c r="B2" i="4"/>
  <c r="B1" i="4"/>
  <c r="CD12" i="3"/>
  <c r="CA12" i="3"/>
  <c r="CA11" i="3" s="1"/>
  <c r="BC12" i="3"/>
  <c r="AZ12" i="3"/>
  <c r="AZ11" i="3" s="1"/>
  <c r="AW12" i="3"/>
  <c r="AW11" i="3" s="1"/>
  <c r="AT12" i="3"/>
  <c r="AT11" i="3" s="1"/>
  <c r="AQ12" i="3"/>
  <c r="AQ11" i="3" s="1"/>
  <c r="AN12" i="3"/>
  <c r="AN11" i="3" s="1"/>
  <c r="AK12" i="3"/>
  <c r="AK11" i="3" s="1"/>
  <c r="AH12" i="3"/>
  <c r="AH11" i="3" s="1"/>
  <c r="AE12" i="3"/>
  <c r="AE11" i="3" s="1"/>
  <c r="AB12" i="3"/>
  <c r="AB11" i="3" s="1"/>
  <c r="Y12" i="3"/>
  <c r="Y11" i="3" s="1"/>
  <c r="G12" i="3"/>
  <c r="CD11" i="3"/>
  <c r="CC11" i="3"/>
  <c r="BZ11" i="3"/>
  <c r="BW11" i="3"/>
  <c r="BT11" i="3"/>
  <c r="BQ11" i="3"/>
  <c r="BN11" i="3"/>
  <c r="BK11" i="3"/>
  <c r="BH11" i="3"/>
  <c r="BE11" i="3"/>
  <c r="BC11" i="3"/>
  <c r="BB11" i="3"/>
  <c r="AY11" i="3"/>
  <c r="AV11" i="3"/>
  <c r="AS11" i="3"/>
  <c r="AP11" i="3"/>
  <c r="AM11" i="3"/>
  <c r="AJ11" i="3"/>
  <c r="AG11" i="3"/>
  <c r="AD11" i="3"/>
  <c r="AA11" i="3"/>
  <c r="X11" i="3"/>
  <c r="P11" i="3"/>
  <c r="R11" i="3" s="1"/>
  <c r="G11" i="3"/>
  <c r="I11" i="3" s="1"/>
  <c r="F11" i="3"/>
  <c r="CD10" i="3"/>
  <c r="CD9" i="3" s="1"/>
  <c r="BX10" i="3"/>
  <c r="BX9" i="3" s="1"/>
  <c r="BR10" i="3"/>
  <c r="BR9" i="3" s="1"/>
  <c r="BO10" i="3"/>
  <c r="BI10" i="3"/>
  <c r="BI9" i="3" s="1"/>
  <c r="BF10" i="3"/>
  <c r="BF9" i="3" s="1"/>
  <c r="AW10" i="3"/>
  <c r="AT10" i="3"/>
  <c r="AT9" i="3" s="1"/>
  <c r="AN10" i="3"/>
  <c r="AK10" i="3"/>
  <c r="AB10" i="3"/>
  <c r="V10" i="3"/>
  <c r="V9" i="3" s="1"/>
  <c r="S10" i="3"/>
  <c r="S9" i="3" s="1"/>
  <c r="P10" i="3"/>
  <c r="P9" i="3" s="1"/>
  <c r="M10" i="3"/>
  <c r="J10" i="3"/>
  <c r="J9" i="3" s="1"/>
  <c r="CC9" i="3"/>
  <c r="BZ9" i="3"/>
  <c r="BW9" i="3"/>
  <c r="BT9" i="3"/>
  <c r="BQ9" i="3"/>
  <c r="BO9" i="3"/>
  <c r="BN9" i="3"/>
  <c r="BK9" i="3"/>
  <c r="BH9" i="3"/>
  <c r="BE9" i="3"/>
  <c r="BB9" i="3"/>
  <c r="AY9" i="3"/>
  <c r="AW9" i="3"/>
  <c r="AV9" i="3"/>
  <c r="AS9" i="3"/>
  <c r="AP9" i="3"/>
  <c r="AN9" i="3"/>
  <c r="AM9" i="3"/>
  <c r="AK9" i="3"/>
  <c r="AJ9" i="3"/>
  <c r="AG9" i="3"/>
  <c r="AD9" i="3"/>
  <c r="AB9" i="3"/>
  <c r="AA9" i="3"/>
  <c r="X9" i="3"/>
  <c r="U9" i="3"/>
  <c r="R9" i="3"/>
  <c r="O9" i="3"/>
  <c r="L9" i="3"/>
  <c r="I9" i="3"/>
  <c r="F9" i="3"/>
  <c r="B9" i="3"/>
  <c r="CD8" i="3"/>
  <c r="CD7" i="3" s="1"/>
  <c r="AN8" i="3"/>
  <c r="AN7" i="3" s="1"/>
  <c r="AH8" i="3"/>
  <c r="AH7" i="3" s="1"/>
  <c r="AE8" i="3"/>
  <c r="AE7" i="3" s="1"/>
  <c r="Y8" i="3"/>
  <c r="Y7" i="3" s="1"/>
  <c r="V8" i="3"/>
  <c r="V7" i="3" s="1"/>
  <c r="S8" i="3"/>
  <c r="S7" i="3" s="1"/>
  <c r="P8" i="3"/>
  <c r="P7" i="3" s="1"/>
  <c r="B8" i="3"/>
  <c r="CC7" i="3"/>
  <c r="BZ7" i="3"/>
  <c r="BW7" i="3"/>
  <c r="BT7" i="3"/>
  <c r="BQ7" i="3"/>
  <c r="BN7" i="3"/>
  <c r="BK7" i="3"/>
  <c r="BH7" i="3"/>
  <c r="BE7" i="3"/>
  <c r="BB7" i="3"/>
  <c r="AY7" i="3"/>
  <c r="AV7" i="3"/>
  <c r="AS7" i="3"/>
  <c r="AP7" i="3"/>
  <c r="AM7" i="3"/>
  <c r="AJ7" i="3"/>
  <c r="AG7" i="3"/>
  <c r="AD7" i="3"/>
  <c r="AA7" i="3"/>
  <c r="X7" i="3"/>
  <c r="U7" i="3"/>
  <c r="R7" i="3"/>
  <c r="O7" i="3"/>
  <c r="L7" i="3"/>
  <c r="I7" i="3"/>
  <c r="F7" i="3"/>
  <c r="B7" i="3"/>
  <c r="CD6" i="3"/>
  <c r="BX6" i="3"/>
  <c r="BU6" i="3"/>
  <c r="BR6" i="3"/>
  <c r="BO6" i="3"/>
  <c r="BL6" i="3"/>
  <c r="Y6" i="3"/>
  <c r="V6" i="3"/>
  <c r="S6" i="3"/>
  <c r="P6" i="3"/>
  <c r="M6" i="3"/>
  <c r="J6" i="3"/>
  <c r="B6" i="3"/>
  <c r="CC5" i="3"/>
  <c r="BZ5" i="3"/>
  <c r="BW5" i="3"/>
  <c r="BT5" i="3"/>
  <c r="BQ5" i="3"/>
  <c r="BN5" i="3"/>
  <c r="BK5" i="3"/>
  <c r="BH5" i="3"/>
  <c r="BE5" i="3"/>
  <c r="BB5" i="3"/>
  <c r="AY5" i="3"/>
  <c r="AV5" i="3"/>
  <c r="AS5" i="3"/>
  <c r="AP5" i="3"/>
  <c r="AM5" i="3"/>
  <c r="AJ5" i="3"/>
  <c r="AG5" i="3"/>
  <c r="AD5" i="3"/>
  <c r="AA5" i="3"/>
  <c r="X5" i="3"/>
  <c r="U5" i="3"/>
  <c r="R5" i="3"/>
  <c r="O5" i="3"/>
  <c r="L5" i="3"/>
  <c r="I5" i="3"/>
  <c r="J5" i="3" s="1"/>
  <c r="F5" i="3"/>
  <c r="CD4" i="3"/>
  <c r="CA4" i="3"/>
  <c r="BX4" i="3"/>
  <c r="BU4" i="3"/>
  <c r="BL4" i="3"/>
  <c r="BI4" i="3"/>
  <c r="AT4" i="3"/>
  <c r="AB4" i="3"/>
  <c r="Y4" i="3"/>
  <c r="P4" i="3"/>
  <c r="M4" i="3"/>
  <c r="G4" i="3"/>
  <c r="B4" i="3"/>
  <c r="CC3" i="3"/>
  <c r="BZ3" i="3"/>
  <c r="BW3" i="3"/>
  <c r="BX3" i="3" s="1"/>
  <c r="BT3" i="3"/>
  <c r="BU3" i="3" s="1"/>
  <c r="BQ3" i="3"/>
  <c r="BN3" i="3"/>
  <c r="BK3" i="3"/>
  <c r="BL3" i="3" s="1"/>
  <c r="BH3" i="3"/>
  <c r="BI3" i="3" s="1"/>
  <c r="BE3" i="3"/>
  <c r="BB3" i="3"/>
  <c r="AY3" i="3"/>
  <c r="AV3" i="3"/>
  <c r="AT3" i="3"/>
  <c r="AS3" i="3"/>
  <c r="AP3" i="3"/>
  <c r="AM3" i="3"/>
  <c r="AJ3" i="3"/>
  <c r="AG3" i="3"/>
  <c r="AD3" i="3"/>
  <c r="AA3" i="3"/>
  <c r="AB3" i="3" s="1"/>
  <c r="X3" i="3"/>
  <c r="Y3" i="3" s="1"/>
  <c r="U3" i="3"/>
  <c r="R3" i="3"/>
  <c r="P3" i="3"/>
  <c r="O3" i="3"/>
  <c r="M3" i="3"/>
  <c r="L3" i="3"/>
  <c r="I3" i="3"/>
  <c r="F3" i="3"/>
  <c r="B3" i="3"/>
  <c r="B2" i="3"/>
  <c r="B1" i="3"/>
  <c r="CD12" i="2"/>
  <c r="CA12" i="2"/>
  <c r="BR12" i="2"/>
  <c r="BR11" i="2" s="1"/>
  <c r="BL12" i="2"/>
  <c r="BL11" i="2" s="1"/>
  <c r="BI12" i="2"/>
  <c r="BI11" i="2" s="1"/>
  <c r="BF12" i="2"/>
  <c r="BF11" i="2" s="1"/>
  <c r="BC12" i="2"/>
  <c r="AZ12" i="2"/>
  <c r="AZ11" i="2" s="1"/>
  <c r="AW12" i="2"/>
  <c r="AW11" i="2" s="1"/>
  <c r="AT12" i="2"/>
  <c r="AT11" i="2" s="1"/>
  <c r="AH12" i="2"/>
  <c r="AE12" i="2"/>
  <c r="V12" i="2"/>
  <c r="V11" i="2" s="1"/>
  <c r="P12" i="2"/>
  <c r="M12" i="2"/>
  <c r="J12" i="2"/>
  <c r="G12" i="2"/>
  <c r="CD11" i="2"/>
  <c r="CC11" i="2"/>
  <c r="CA11" i="2"/>
  <c r="BZ11" i="2"/>
  <c r="BW11" i="2"/>
  <c r="BT11" i="2"/>
  <c r="BQ11" i="2"/>
  <c r="BN11" i="2"/>
  <c r="BK11" i="2"/>
  <c r="BH11" i="2"/>
  <c r="BE11" i="2"/>
  <c r="BC11" i="2"/>
  <c r="BB11" i="2"/>
  <c r="AY11" i="2"/>
  <c r="AV11" i="2"/>
  <c r="AS11" i="2"/>
  <c r="AP11" i="2"/>
  <c r="AM11" i="2"/>
  <c r="AJ11" i="2"/>
  <c r="AH11" i="2"/>
  <c r="AG11" i="2"/>
  <c r="AE11" i="2"/>
  <c r="AD11" i="2"/>
  <c r="AA11" i="2"/>
  <c r="X11" i="2"/>
  <c r="U11" i="2"/>
  <c r="R11" i="2"/>
  <c r="P11" i="2"/>
  <c r="O11" i="2"/>
  <c r="M11" i="2"/>
  <c r="L11" i="2"/>
  <c r="J11" i="2"/>
  <c r="I11" i="2"/>
  <c r="F11" i="2"/>
  <c r="CD10" i="2"/>
  <c r="CD9" i="2" s="1"/>
  <c r="BX10" i="2"/>
  <c r="BX9" i="2" s="1"/>
  <c r="BU10" i="2"/>
  <c r="BR10" i="2"/>
  <c r="BR9" i="2" s="1"/>
  <c r="AN10" i="2"/>
  <c r="AN9" i="2" s="1"/>
  <c r="AK10" i="2"/>
  <c r="AK9" i="2" s="1"/>
  <c r="AB10" i="2"/>
  <c r="AB9" i="2" s="1"/>
  <c r="V10" i="2"/>
  <c r="V9" i="2" s="1"/>
  <c r="M10" i="2"/>
  <c r="J10" i="2"/>
  <c r="J9" i="2" s="1"/>
  <c r="CC9" i="2"/>
  <c r="BZ9" i="2"/>
  <c r="BW9" i="2"/>
  <c r="BU9" i="2"/>
  <c r="BT9" i="2"/>
  <c r="BQ9" i="2"/>
  <c r="BN9" i="2"/>
  <c r="BK9" i="2"/>
  <c r="BI9" i="2"/>
  <c r="BH9" i="2"/>
  <c r="BE9" i="2"/>
  <c r="BB9" i="2"/>
  <c r="AY9" i="2"/>
  <c r="AV9" i="2"/>
  <c r="AS9" i="2"/>
  <c r="AP9" i="2"/>
  <c r="AM9" i="2"/>
  <c r="AJ9" i="2"/>
  <c r="AG9" i="2"/>
  <c r="AD9" i="2"/>
  <c r="AA9" i="2"/>
  <c r="X9" i="2"/>
  <c r="U9" i="2"/>
  <c r="R9" i="2"/>
  <c r="O9" i="2"/>
  <c r="M9" i="2"/>
  <c r="L9" i="2"/>
  <c r="I9" i="2"/>
  <c r="F9" i="2"/>
  <c r="B9" i="2"/>
  <c r="CD8" i="2"/>
  <c r="CA8" i="2"/>
  <c r="AT8" i="2"/>
  <c r="AT7" i="2" s="1"/>
  <c r="Y8" i="2"/>
  <c r="S8" i="2"/>
  <c r="S7" i="2" s="1"/>
  <c r="J8" i="2"/>
  <c r="J7" i="2" s="1"/>
  <c r="G8" i="2"/>
  <c r="B8" i="2"/>
  <c r="CC7" i="2"/>
  <c r="CD7" i="2" s="1"/>
  <c r="CA7" i="2"/>
  <c r="BZ7" i="2"/>
  <c r="BW7" i="2"/>
  <c r="BT7" i="2"/>
  <c r="BQ7" i="2"/>
  <c r="BN7" i="2"/>
  <c r="BK7" i="2"/>
  <c r="BH7" i="2"/>
  <c r="BE7" i="2"/>
  <c r="BB7" i="2"/>
  <c r="AY7" i="2"/>
  <c r="AZ7" i="2" s="1"/>
  <c r="AV7" i="2"/>
  <c r="AS7" i="2"/>
  <c r="AP7" i="2"/>
  <c r="AM7" i="2"/>
  <c r="AJ7" i="2"/>
  <c r="AG7" i="2"/>
  <c r="AD7" i="2"/>
  <c r="AA7" i="2"/>
  <c r="X7" i="2"/>
  <c r="Y7" i="2" s="1"/>
  <c r="U7" i="2"/>
  <c r="R7" i="2"/>
  <c r="O7" i="2"/>
  <c r="L7" i="2"/>
  <c r="I7" i="2"/>
  <c r="F7" i="2"/>
  <c r="B7" i="2"/>
  <c r="CD6" i="2"/>
  <c r="BX6" i="2"/>
  <c r="BU6" i="2"/>
  <c r="AQ6" i="2"/>
  <c r="AN6" i="2"/>
  <c r="V6" i="2"/>
  <c r="B6" i="2"/>
  <c r="CC5" i="2"/>
  <c r="BZ5" i="2"/>
  <c r="BW5" i="2"/>
  <c r="BT5" i="2"/>
  <c r="BQ5" i="2"/>
  <c r="BN5" i="2"/>
  <c r="BK5" i="2"/>
  <c r="BH5" i="2"/>
  <c r="BE5" i="2"/>
  <c r="BB5" i="2"/>
  <c r="AY5" i="2"/>
  <c r="AV5" i="2"/>
  <c r="AS5" i="2"/>
  <c r="AP5" i="2"/>
  <c r="AM5" i="2"/>
  <c r="AJ5" i="2"/>
  <c r="AG5" i="2"/>
  <c r="AD5" i="2"/>
  <c r="AA5" i="2"/>
  <c r="X5" i="2"/>
  <c r="U5" i="2"/>
  <c r="R5" i="2"/>
  <c r="O5" i="2"/>
  <c r="L5" i="2"/>
  <c r="I5" i="2"/>
  <c r="F5" i="2"/>
  <c r="CD4" i="2"/>
  <c r="BU4" i="2"/>
  <c r="BU3" i="2" s="1"/>
  <c r="Y4" i="2"/>
  <c r="Y3" i="2" s="1"/>
  <c r="V4" i="2"/>
  <c r="S4" i="2"/>
  <c r="P4" i="2"/>
  <c r="G4" i="2"/>
  <c r="B4" i="2"/>
  <c r="CD3" i="2"/>
  <c r="CC3" i="2"/>
  <c r="BZ3" i="2"/>
  <c r="BW3" i="2"/>
  <c r="BT3" i="2"/>
  <c r="BQ3" i="2"/>
  <c r="BN3" i="2"/>
  <c r="BK3" i="2"/>
  <c r="BH3" i="2"/>
  <c r="BE3" i="2"/>
  <c r="BB3" i="2"/>
  <c r="AY3" i="2"/>
  <c r="AV3" i="2"/>
  <c r="AS3" i="2"/>
  <c r="AP3" i="2"/>
  <c r="AM3" i="2"/>
  <c r="AJ3" i="2"/>
  <c r="AG3" i="2"/>
  <c r="AD3" i="2"/>
  <c r="AA3" i="2"/>
  <c r="X3" i="2"/>
  <c r="U3" i="2"/>
  <c r="V3" i="2" s="1"/>
  <c r="R3" i="2"/>
  <c r="O3" i="2"/>
  <c r="L3" i="2"/>
  <c r="I3" i="2"/>
  <c r="F3" i="2"/>
  <c r="G3" i="2" s="1"/>
  <c r="B3" i="2"/>
  <c r="B2" i="2"/>
  <c r="B1" i="2"/>
  <c r="CA12" i="1"/>
  <c r="BX12" i="1"/>
  <c r="BX12" i="7" s="1"/>
  <c r="BX11" i="7" s="1"/>
  <c r="BU12" i="1"/>
  <c r="BR12" i="1"/>
  <c r="BO12" i="1"/>
  <c r="BL12" i="1"/>
  <c r="BL12" i="5" s="1"/>
  <c r="BI12" i="1"/>
  <c r="BF12" i="1"/>
  <c r="BC12" i="1"/>
  <c r="AZ12" i="1"/>
  <c r="AW12" i="1"/>
  <c r="AW12" i="8" s="1"/>
  <c r="AW11" i="8" s="1"/>
  <c r="AT12" i="1"/>
  <c r="AT12" i="5" s="1"/>
  <c r="AQ12" i="1"/>
  <c r="AN12" i="1"/>
  <c r="AK12" i="1"/>
  <c r="AH12" i="1"/>
  <c r="AH12" i="7" s="1"/>
  <c r="AE12" i="1"/>
  <c r="AE12" i="6" s="1"/>
  <c r="AE11" i="6" s="1"/>
  <c r="AB12" i="1"/>
  <c r="AB12" i="5" s="1"/>
  <c r="AB11" i="5" s="1"/>
  <c r="Y12" i="1"/>
  <c r="V12" i="1"/>
  <c r="V11" i="3" s="1"/>
  <c r="S12" i="1"/>
  <c r="S12" i="4" s="1"/>
  <c r="S11" i="4" s="1"/>
  <c r="P12" i="1"/>
  <c r="M12" i="1"/>
  <c r="J12" i="1"/>
  <c r="G12" i="1"/>
  <c r="G12" i="4" s="1"/>
  <c r="AG11" i="1"/>
  <c r="AD11" i="1"/>
  <c r="AA11" i="1"/>
  <c r="X11" i="1"/>
  <c r="U11" i="1"/>
  <c r="R11" i="1"/>
  <c r="O11" i="1"/>
  <c r="L11" i="1"/>
  <c r="I11" i="1"/>
  <c r="CA10" i="1"/>
  <c r="CA10" i="5" s="1"/>
  <c r="CA9" i="5" s="1"/>
  <c r="BX10" i="1"/>
  <c r="BU10" i="1"/>
  <c r="BR10" i="1"/>
  <c r="BR10" i="8" s="1"/>
  <c r="BO10" i="1"/>
  <c r="BL10" i="1"/>
  <c r="BI10" i="1"/>
  <c r="BI10" i="2" s="1"/>
  <c r="BF10" i="1"/>
  <c r="BF10" i="2" s="1"/>
  <c r="BF9" i="2" s="1"/>
  <c r="BC10" i="1"/>
  <c r="BC10" i="2" s="1"/>
  <c r="BC9" i="2" s="1"/>
  <c r="AZ10" i="1"/>
  <c r="AW10" i="1"/>
  <c r="AT10" i="1"/>
  <c r="AQ10" i="1"/>
  <c r="AQ10" i="2" s="1"/>
  <c r="AQ9" i="2" s="1"/>
  <c r="AN10" i="1"/>
  <c r="AN10" i="5" s="1"/>
  <c r="AN9" i="5" s="1"/>
  <c r="AK10" i="1"/>
  <c r="AK10" i="5" s="1"/>
  <c r="AK9" i="5" s="1"/>
  <c r="AH10" i="1"/>
  <c r="AE10" i="1"/>
  <c r="AB10" i="1"/>
  <c r="AB10" i="6" s="1"/>
  <c r="Y10" i="1"/>
  <c r="Y10" i="2" s="1"/>
  <c r="Y9" i="2" s="1"/>
  <c r="V10" i="1"/>
  <c r="S10" i="1"/>
  <c r="P10" i="1"/>
  <c r="M10" i="1"/>
  <c r="M10" i="8" s="1"/>
  <c r="J10" i="1"/>
  <c r="J10" i="8" s="1"/>
  <c r="G10" i="1"/>
  <c r="BU8" i="1"/>
  <c r="BR8" i="1"/>
  <c r="BI8" i="1"/>
  <c r="BF8" i="1"/>
  <c r="BC8" i="1"/>
  <c r="AZ8" i="1"/>
  <c r="AZ8" i="2" s="1"/>
  <c r="AW8" i="1"/>
  <c r="AW8" i="2" s="1"/>
  <c r="AW7" i="2" s="1"/>
  <c r="AT8" i="1"/>
  <c r="AT8" i="8" s="1"/>
  <c r="AT7" i="8" s="1"/>
  <c r="AQ8" i="1"/>
  <c r="AK8" i="1"/>
  <c r="G8" i="1"/>
  <c r="BZ7" i="1"/>
  <c r="CA8" i="1" s="1"/>
  <c r="BW7" i="1"/>
  <c r="BX8" i="1" s="1"/>
  <c r="BT7" i="1"/>
  <c r="BQ7" i="1"/>
  <c r="BN7" i="1"/>
  <c r="BO8" i="1" s="1"/>
  <c r="BK7" i="1"/>
  <c r="BL8" i="1" s="1"/>
  <c r="BH7" i="1"/>
  <c r="BE7" i="1"/>
  <c r="BB7" i="1"/>
  <c r="AY7" i="1"/>
  <c r="AV7" i="1"/>
  <c r="AS7" i="1"/>
  <c r="AP7" i="1"/>
  <c r="AM7" i="1"/>
  <c r="AN8" i="1" s="1"/>
  <c r="AJ7" i="1"/>
  <c r="AG7" i="1"/>
  <c r="AH8" i="1" s="1"/>
  <c r="AD7" i="1"/>
  <c r="AE8" i="1" s="1"/>
  <c r="AA7" i="1"/>
  <c r="AB8" i="1" s="1"/>
  <c r="AB8" i="4" s="1"/>
  <c r="AB7" i="4" s="1"/>
  <c r="X7" i="1"/>
  <c r="Y8" i="1" s="1"/>
  <c r="U7" i="1"/>
  <c r="V8" i="1" s="1"/>
  <c r="R7" i="1"/>
  <c r="S8" i="1" s="1"/>
  <c r="O7" i="1"/>
  <c r="P8" i="1" s="1"/>
  <c r="L7" i="1"/>
  <c r="M8" i="1" s="1"/>
  <c r="I7" i="1"/>
  <c r="J8" i="1" s="1"/>
  <c r="AZ6" i="1"/>
  <c r="AW6" i="1"/>
  <c r="AW6" i="2" s="1"/>
  <c r="AT6" i="1"/>
  <c r="AT6" i="2" s="1"/>
  <c r="AQ6" i="1"/>
  <c r="AN6" i="1"/>
  <c r="AK6" i="1"/>
  <c r="AB6" i="1"/>
  <c r="G6" i="1"/>
  <c r="G6" i="4" s="1"/>
  <c r="BZ5" i="1"/>
  <c r="CA6" i="1" s="1"/>
  <c r="BW5" i="1"/>
  <c r="BX6" i="1" s="1"/>
  <c r="BX6" i="8" s="1"/>
  <c r="BT5" i="1"/>
  <c r="BU6" i="1" s="1"/>
  <c r="BQ5" i="1"/>
  <c r="BR6" i="1" s="1"/>
  <c r="BN5" i="1"/>
  <c r="BO6" i="1" s="1"/>
  <c r="BK5" i="1"/>
  <c r="BL6" i="1" s="1"/>
  <c r="BL6" i="2" s="1"/>
  <c r="BH5" i="1"/>
  <c r="BI6" i="1" s="1"/>
  <c r="BI6" i="7" s="1"/>
  <c r="BE5" i="1"/>
  <c r="BF6" i="1" s="1"/>
  <c r="BB5" i="1"/>
  <c r="BC6" i="1" s="1"/>
  <c r="AY5" i="1"/>
  <c r="AV5" i="1"/>
  <c r="AS5" i="1"/>
  <c r="AP5" i="1"/>
  <c r="AM5" i="1"/>
  <c r="AJ5" i="1"/>
  <c r="AG5" i="1"/>
  <c r="AH6" i="1" s="1"/>
  <c r="AD5" i="1"/>
  <c r="AE6" i="1" s="1"/>
  <c r="AE6" i="4" s="1"/>
  <c r="AA5" i="1"/>
  <c r="X5" i="1"/>
  <c r="Y6" i="1" s="1"/>
  <c r="U5" i="1"/>
  <c r="V6" i="1" s="1"/>
  <c r="R5" i="1"/>
  <c r="S6" i="1" s="1"/>
  <c r="O5" i="1"/>
  <c r="P6" i="1" s="1"/>
  <c r="L5" i="1"/>
  <c r="M6" i="1" s="1"/>
  <c r="I5" i="1"/>
  <c r="J6" i="1" s="1"/>
  <c r="CA4" i="1"/>
  <c r="BX4" i="1"/>
  <c r="AZ4" i="1"/>
  <c r="AW4" i="1"/>
  <c r="AT4" i="1"/>
  <c r="AT4" i="2" s="1"/>
  <c r="AQ4" i="1"/>
  <c r="AQ4" i="4" s="1"/>
  <c r="AN4" i="1"/>
  <c r="AK4" i="1"/>
  <c r="AH4" i="1"/>
  <c r="AE4" i="1"/>
  <c r="AB4" i="1"/>
  <c r="S4" i="1"/>
  <c r="M4" i="1"/>
  <c r="G4" i="1"/>
  <c r="BZ3" i="1"/>
  <c r="BW3" i="1"/>
  <c r="BT3" i="1"/>
  <c r="BU4" i="1" s="1"/>
  <c r="BQ3" i="1"/>
  <c r="BR4" i="1" s="1"/>
  <c r="BN3" i="1"/>
  <c r="BO4" i="1" s="1"/>
  <c r="BO4" i="4" s="1"/>
  <c r="BK3" i="1"/>
  <c r="BL4" i="1" s="1"/>
  <c r="BH3" i="1"/>
  <c r="BI4" i="1" s="1"/>
  <c r="BE3" i="1"/>
  <c r="BF4" i="1" s="1"/>
  <c r="BF4" i="4" s="1"/>
  <c r="BF3" i="4" s="1"/>
  <c r="BB3" i="1"/>
  <c r="BC4" i="1" s="1"/>
  <c r="AY3" i="1"/>
  <c r="AV3" i="1"/>
  <c r="AS3" i="1"/>
  <c r="AP3" i="1"/>
  <c r="AM3" i="1"/>
  <c r="AJ3" i="1"/>
  <c r="AG3" i="1"/>
  <c r="AD3" i="1"/>
  <c r="AA3" i="1"/>
  <c r="X3" i="1"/>
  <c r="Y4" i="1" s="1"/>
  <c r="U3" i="1"/>
  <c r="V4" i="1" s="1"/>
  <c r="R3" i="1"/>
  <c r="O3" i="1"/>
  <c r="P4" i="1" s="1"/>
  <c r="L3" i="1"/>
  <c r="I3" i="1"/>
  <c r="J4" i="1" s="1"/>
  <c r="J4" i="5" s="1"/>
  <c r="J3" i="5" s="1"/>
  <c r="BC7" i="14" l="1"/>
  <c r="G3" i="16"/>
  <c r="BC3" i="16"/>
  <c r="AN3" i="15"/>
  <c r="AZ7" i="15"/>
  <c r="AQ3" i="12"/>
  <c r="G7" i="13"/>
  <c r="AW3" i="11"/>
  <c r="S7" i="11"/>
  <c r="G3" i="13"/>
  <c r="AW3" i="14"/>
  <c r="M7" i="14"/>
  <c r="AQ3" i="15"/>
  <c r="BI3" i="16"/>
  <c r="S3" i="16"/>
  <c r="BO3" i="16"/>
  <c r="BI3" i="11"/>
  <c r="BL3" i="11"/>
  <c r="BO7" i="11"/>
  <c r="BF3" i="13"/>
  <c r="V3" i="16"/>
  <c r="BR3" i="16"/>
  <c r="AK3" i="12"/>
  <c r="AW7" i="11"/>
  <c r="AT3" i="11"/>
  <c r="AQ3" i="13"/>
  <c r="AZ7" i="14"/>
  <c r="AT3" i="15"/>
  <c r="BL3" i="16"/>
  <c r="BI3" i="12"/>
  <c r="BC3" i="15"/>
  <c r="AZ7" i="11"/>
  <c r="M9" i="11"/>
  <c r="AH3" i="15"/>
  <c r="CD3" i="15"/>
  <c r="S7" i="16"/>
  <c r="AE3" i="12"/>
  <c r="CA7" i="12"/>
  <c r="AB7" i="11"/>
  <c r="S3" i="13"/>
  <c r="M3" i="11"/>
  <c r="AZ3" i="11"/>
  <c r="AZ3" i="12"/>
  <c r="AT3" i="13"/>
  <c r="AH3" i="14"/>
  <c r="AQ7" i="14"/>
  <c r="AN7" i="15"/>
  <c r="AZ7" i="16"/>
  <c r="BF7" i="11"/>
  <c r="P3" i="12"/>
  <c r="BC3" i="12"/>
  <c r="AW3" i="13"/>
  <c r="AT7" i="13"/>
  <c r="CD3" i="14"/>
  <c r="AK3" i="15"/>
  <c r="AQ7" i="15"/>
  <c r="M3" i="16"/>
  <c r="Y7" i="11"/>
  <c r="BI7" i="11"/>
  <c r="S3" i="12"/>
  <c r="AZ3" i="13"/>
  <c r="AN3" i="14"/>
  <c r="G9" i="14"/>
  <c r="AT7" i="15"/>
  <c r="P3" i="16"/>
  <c r="G3" i="14"/>
  <c r="AE7" i="16"/>
  <c r="BU3" i="12"/>
  <c r="AB7" i="12"/>
  <c r="AB3" i="13"/>
  <c r="BO7" i="14"/>
  <c r="P3" i="15"/>
  <c r="BL7" i="15"/>
  <c r="AH3" i="16"/>
  <c r="BX7" i="16"/>
  <c r="AH3" i="11"/>
  <c r="CA7" i="11"/>
  <c r="AE7" i="12"/>
  <c r="BL3" i="14"/>
  <c r="S3" i="15"/>
  <c r="BL3" i="15"/>
  <c r="Y7" i="15"/>
  <c r="P7" i="12"/>
  <c r="Y3" i="11"/>
  <c r="BO3" i="12"/>
  <c r="BU3" i="11"/>
  <c r="BF3" i="14"/>
  <c r="BF3" i="15"/>
  <c r="AE3" i="16"/>
  <c r="J5" i="16"/>
  <c r="BX3" i="11"/>
  <c r="BX7" i="11"/>
  <c r="BI3" i="14"/>
  <c r="BI3" i="15"/>
  <c r="V7" i="15"/>
  <c r="BX3" i="16"/>
  <c r="AK3" i="11"/>
  <c r="J5" i="12"/>
  <c r="BU7" i="14"/>
  <c r="BO3" i="15"/>
  <c r="BL3" i="12"/>
  <c r="AB3" i="11"/>
  <c r="AE7" i="11"/>
  <c r="AB7" i="16"/>
  <c r="AN3" i="11"/>
  <c r="CA3" i="12"/>
  <c r="V3" i="14"/>
  <c r="AE7" i="14"/>
  <c r="AN7" i="12"/>
  <c r="BX3" i="13"/>
  <c r="CA7" i="13"/>
  <c r="J5" i="15"/>
  <c r="BU7" i="15"/>
  <c r="AM3" i="10"/>
  <c r="AN3" i="10"/>
  <c r="BX3" i="4"/>
  <c r="BF6" i="2"/>
  <c r="BF6" i="3"/>
  <c r="BF6" i="8"/>
  <c r="BF6" i="4"/>
  <c r="BF6" i="5"/>
  <c r="BF6" i="7"/>
  <c r="BF6" i="6"/>
  <c r="CA3" i="4"/>
  <c r="V3" i="5"/>
  <c r="AN3" i="4"/>
  <c r="BX3" i="8"/>
  <c r="AP5" i="10"/>
  <c r="AR5" i="10" s="1"/>
  <c r="AO5" i="10"/>
  <c r="J3" i="6"/>
  <c r="AN3" i="8"/>
  <c r="Z4" i="10"/>
  <c r="AB4" i="10" s="1"/>
  <c r="Y4" i="10"/>
  <c r="BX8" i="8"/>
  <c r="BX7" i="8" s="1"/>
  <c r="BX8" i="4"/>
  <c r="BX7" i="4" s="1"/>
  <c r="BX8" i="3"/>
  <c r="BX7" i="3" s="1"/>
  <c r="BX8" i="5"/>
  <c r="BX7" i="5" s="1"/>
  <c r="BX8" i="2"/>
  <c r="BX7" i="2" s="1"/>
  <c r="BX8" i="7"/>
  <c r="BX7" i="7" s="1"/>
  <c r="BX8" i="6"/>
  <c r="BX7" i="6" s="1"/>
  <c r="R9" i="10"/>
  <c r="Q9" i="10"/>
  <c r="J3" i="4"/>
  <c r="AT3" i="8"/>
  <c r="AB3" i="2"/>
  <c r="J3" i="3"/>
  <c r="P3" i="4"/>
  <c r="BC3" i="7"/>
  <c r="AX4" i="10"/>
  <c r="AZ4" i="10" s="1"/>
  <c r="AW4" i="10"/>
  <c r="R6" i="10"/>
  <c r="T6" i="10" s="1"/>
  <c r="V6" i="10" s="1"/>
  <c r="Q6" i="10"/>
  <c r="AH4" i="4"/>
  <c r="AH3" i="4" s="1"/>
  <c r="AH4" i="6"/>
  <c r="AH3" i="6" s="1"/>
  <c r="AH4" i="3"/>
  <c r="AH3" i="3" s="1"/>
  <c r="AH4" i="7"/>
  <c r="AH4" i="8"/>
  <c r="AH3" i="8" s="1"/>
  <c r="CA6" i="8"/>
  <c r="CA6" i="5"/>
  <c r="CA6" i="4"/>
  <c r="CA6" i="7"/>
  <c r="T3" i="10"/>
  <c r="S3" i="10"/>
  <c r="BU10" i="8"/>
  <c r="BU9" i="8" s="1"/>
  <c r="BU10" i="7"/>
  <c r="BU9" i="7" s="1"/>
  <c r="BO12" i="7"/>
  <c r="BO11" i="7" s="1"/>
  <c r="BO12" i="5"/>
  <c r="BO11" i="5" s="1"/>
  <c r="BO12" i="3"/>
  <c r="BO11" i="3" s="1"/>
  <c r="BO12" i="6"/>
  <c r="BO11" i="6" s="1"/>
  <c r="AH4" i="2"/>
  <c r="AH3" i="2" s="1"/>
  <c r="CD3" i="3"/>
  <c r="AB8" i="3"/>
  <c r="AB7" i="3" s="1"/>
  <c r="BX3" i="5"/>
  <c r="AK3" i="6"/>
  <c r="BU3" i="6"/>
  <c r="M3" i="8"/>
  <c r="BF4" i="8"/>
  <c r="BF3" i="8" s="1"/>
  <c r="AS7" i="10"/>
  <c r="AM7" i="10"/>
  <c r="U7" i="10"/>
  <c r="AY7" i="10"/>
  <c r="I7" i="10"/>
  <c r="AC7" i="10"/>
  <c r="G7" i="10"/>
  <c r="AW7" i="10"/>
  <c r="Y7" i="10"/>
  <c r="S7" i="10"/>
  <c r="AU7" i="10"/>
  <c r="W7" i="10"/>
  <c r="Q7" i="10"/>
  <c r="O7" i="10"/>
  <c r="BA7" i="10"/>
  <c r="AG7" i="10"/>
  <c r="AE7" i="10"/>
  <c r="AA7" i="10"/>
  <c r="M7" i="10"/>
  <c r="G9" i="6"/>
  <c r="BR3" i="15"/>
  <c r="AE10" i="6"/>
  <c r="AE9" i="6" s="1"/>
  <c r="AE10" i="3"/>
  <c r="AE9" i="3" s="1"/>
  <c r="AE10" i="5"/>
  <c r="AE9" i="5" s="1"/>
  <c r="AE10" i="7"/>
  <c r="AE9" i="7" s="1"/>
  <c r="AE10" i="4"/>
  <c r="AE9" i="4" s="1"/>
  <c r="Y12" i="8"/>
  <c r="Y11" i="8" s="1"/>
  <c r="Y12" i="7"/>
  <c r="Y11" i="7" s="1"/>
  <c r="Y12" i="2"/>
  <c r="Y11" i="2" s="1"/>
  <c r="Y12" i="6"/>
  <c r="Y11" i="6" s="1"/>
  <c r="M5" i="3"/>
  <c r="AM5" i="10"/>
  <c r="CA4" i="2"/>
  <c r="CA3" i="2" s="1"/>
  <c r="CA4" i="4"/>
  <c r="CA4" i="8"/>
  <c r="CA4" i="6"/>
  <c r="CA3" i="6" s="1"/>
  <c r="BC6" i="7"/>
  <c r="BC6" i="2"/>
  <c r="BC6" i="4"/>
  <c r="BC6" i="3"/>
  <c r="AZ6" i="7"/>
  <c r="AZ6" i="8"/>
  <c r="AZ6" i="5"/>
  <c r="AZ6" i="3"/>
  <c r="AZ6" i="4"/>
  <c r="BC8" i="6"/>
  <c r="BC7" i="6" s="1"/>
  <c r="BC8" i="7"/>
  <c r="BC7" i="7" s="1"/>
  <c r="BC8" i="2"/>
  <c r="BC7" i="2" s="1"/>
  <c r="AZ8" i="3"/>
  <c r="AZ7" i="3" s="1"/>
  <c r="Y12" i="5"/>
  <c r="Y11" i="5" s="1"/>
  <c r="AZ8" i="6"/>
  <c r="AZ7" i="6" s="1"/>
  <c r="O6" i="10"/>
  <c r="K7" i="10"/>
  <c r="J6" i="2"/>
  <c r="J6" i="7"/>
  <c r="J6" i="4"/>
  <c r="BF8" i="7"/>
  <c r="BF7" i="7" s="1"/>
  <c r="BF8" i="6"/>
  <c r="BF7" i="6" s="1"/>
  <c r="BF8" i="3"/>
  <c r="BF7" i="3" s="1"/>
  <c r="BF8" i="2"/>
  <c r="BF7" i="2" s="1"/>
  <c r="BC8" i="3"/>
  <c r="BC7" i="3" s="1"/>
  <c r="CA4" i="7"/>
  <c r="CA3" i="7" s="1"/>
  <c r="M6" i="8"/>
  <c r="M6" i="2"/>
  <c r="M6" i="7"/>
  <c r="J8" i="7"/>
  <c r="J7" i="7" s="1"/>
  <c r="J8" i="3"/>
  <c r="J7" i="3" s="1"/>
  <c r="J8" i="5"/>
  <c r="J7" i="5" s="1"/>
  <c r="J8" i="6"/>
  <c r="J7" i="6" s="1"/>
  <c r="BI8" i="2"/>
  <c r="BI7" i="2" s="1"/>
  <c r="BI8" i="6"/>
  <c r="BI7" i="6" s="1"/>
  <c r="BI8" i="3"/>
  <c r="BI7" i="3" s="1"/>
  <c r="BI8" i="5"/>
  <c r="BI7" i="5" s="1"/>
  <c r="BI8" i="7"/>
  <c r="BI7" i="7" s="1"/>
  <c r="AK12" i="7"/>
  <c r="AK11" i="7" s="1"/>
  <c r="AK12" i="4"/>
  <c r="AK11" i="4" s="1"/>
  <c r="AK12" i="2"/>
  <c r="AK11" i="2" s="1"/>
  <c r="AK12" i="8"/>
  <c r="AK11" i="8" s="1"/>
  <c r="AK12" i="6"/>
  <c r="AK11" i="6" s="1"/>
  <c r="M8" i="2"/>
  <c r="M7" i="2" s="1"/>
  <c r="M8" i="3"/>
  <c r="M7" i="3" s="1"/>
  <c r="M8" i="5"/>
  <c r="M7" i="5" s="1"/>
  <c r="M8" i="8"/>
  <c r="M7" i="8" s="1"/>
  <c r="M8" i="6"/>
  <c r="M7" i="6" s="1"/>
  <c r="BR8" i="5"/>
  <c r="BR7" i="5" s="1"/>
  <c r="BR8" i="7"/>
  <c r="BR7" i="7" s="1"/>
  <c r="BR8" i="2"/>
  <c r="BR7" i="2" s="1"/>
  <c r="BR8" i="4"/>
  <c r="BR7" i="4" s="1"/>
  <c r="BR8" i="3"/>
  <c r="BR7" i="3" s="1"/>
  <c r="AT10" i="7"/>
  <c r="AT9" i="7" s="1"/>
  <c r="AT10" i="4"/>
  <c r="AT9" i="4" s="1"/>
  <c r="AT10" i="5"/>
  <c r="AT9" i="5" s="1"/>
  <c r="AT10" i="6"/>
  <c r="AT9" i="6" s="1"/>
  <c r="AT10" i="8"/>
  <c r="AT9" i="8" s="1"/>
  <c r="AN12" i="8"/>
  <c r="AN11" i="8" s="1"/>
  <c r="AN12" i="4"/>
  <c r="AN11" i="4" s="1"/>
  <c r="AN12" i="2"/>
  <c r="AN11" i="2" s="1"/>
  <c r="AN12" i="7"/>
  <c r="AN11" i="7" s="1"/>
  <c r="AN12" i="6"/>
  <c r="AN11" i="6" s="1"/>
  <c r="AQ3" i="2"/>
  <c r="BF3" i="3"/>
  <c r="CA6" i="3"/>
  <c r="M8" i="4"/>
  <c r="M7" i="4" s="1"/>
  <c r="CA6" i="6"/>
  <c r="AH3" i="7"/>
  <c r="AW8" i="7"/>
  <c r="AW7" i="7" s="1"/>
  <c r="BC6" i="8"/>
  <c r="AK7" i="10"/>
  <c r="M4" i="2"/>
  <c r="M3" i="2" s="1"/>
  <c r="M4" i="8"/>
  <c r="M4" i="6"/>
  <c r="M3" i="6" s="1"/>
  <c r="M4" i="4"/>
  <c r="M3" i="4" s="1"/>
  <c r="BO6" i="8"/>
  <c r="BO6" i="2"/>
  <c r="BO6" i="6"/>
  <c r="BO6" i="5"/>
  <c r="P8" i="2"/>
  <c r="P7" i="2" s="1"/>
  <c r="P8" i="5"/>
  <c r="P7" i="5" s="1"/>
  <c r="P8" i="8"/>
  <c r="P7" i="8" s="1"/>
  <c r="P8" i="6"/>
  <c r="P7" i="6" s="1"/>
  <c r="P8" i="4"/>
  <c r="P7" i="4" s="1"/>
  <c r="BL8" i="2"/>
  <c r="BL7" i="2" s="1"/>
  <c r="BL8" i="7"/>
  <c r="BL7" i="7" s="1"/>
  <c r="BL8" i="6"/>
  <c r="BL7" i="6" s="1"/>
  <c r="BL8" i="3"/>
  <c r="BL7" i="3" s="1"/>
  <c r="BL8" i="5"/>
  <c r="BL7" i="5" s="1"/>
  <c r="BL8" i="4"/>
  <c r="BL7" i="4" s="1"/>
  <c r="BU8" i="7"/>
  <c r="BU7" i="7" s="1"/>
  <c r="BU8" i="4"/>
  <c r="BU7" i="4" s="1"/>
  <c r="BU8" i="8"/>
  <c r="BU7" i="8" s="1"/>
  <c r="BU8" i="3"/>
  <c r="BU7" i="3" s="1"/>
  <c r="AW10" i="7"/>
  <c r="AW9" i="7" s="1"/>
  <c r="AW10" i="6"/>
  <c r="AW9" i="6" s="1"/>
  <c r="AW10" i="8"/>
  <c r="AW9" i="8" s="1"/>
  <c r="AW10" i="5"/>
  <c r="AW9" i="5" s="1"/>
  <c r="AQ12" i="5"/>
  <c r="AQ11" i="5" s="1"/>
  <c r="AQ12" i="4"/>
  <c r="AQ11" i="4" s="1"/>
  <c r="AQ12" i="2"/>
  <c r="AQ11" i="2" s="1"/>
  <c r="AQ12" i="7"/>
  <c r="AQ11" i="7" s="1"/>
  <c r="AQ12" i="8"/>
  <c r="AQ11" i="8" s="1"/>
  <c r="AQ12" i="6"/>
  <c r="AQ11" i="6" s="1"/>
  <c r="AT3" i="2"/>
  <c r="AK12" i="5"/>
  <c r="AK11" i="5" s="1"/>
  <c r="AK3" i="7"/>
  <c r="AZ8" i="7"/>
  <c r="AZ7" i="7" s="1"/>
  <c r="AK3" i="8"/>
  <c r="S4" i="3"/>
  <c r="S3" i="3" s="1"/>
  <c r="S4" i="8"/>
  <c r="S3" i="8" s="1"/>
  <c r="S4" i="4"/>
  <c r="S3" i="4" s="1"/>
  <c r="S8" i="7"/>
  <c r="S7" i="7" s="1"/>
  <c r="S8" i="8"/>
  <c r="S7" i="8" s="1"/>
  <c r="S8" i="6"/>
  <c r="S7" i="6" s="1"/>
  <c r="S8" i="5"/>
  <c r="S7" i="5" s="1"/>
  <c r="BO8" i="7"/>
  <c r="BO7" i="7" s="1"/>
  <c r="BO8" i="3"/>
  <c r="BO7" i="3" s="1"/>
  <c r="BO8" i="5"/>
  <c r="BO7" i="5" s="1"/>
  <c r="BO8" i="2"/>
  <c r="BO7" i="2" s="1"/>
  <c r="BO8" i="4"/>
  <c r="BO7" i="4" s="1"/>
  <c r="CA6" i="2"/>
  <c r="BU8" i="2"/>
  <c r="BU7" i="2" s="1"/>
  <c r="BU10" i="3"/>
  <c r="BU9" i="3" s="1"/>
  <c r="M6" i="4"/>
  <c r="BO12" i="4"/>
  <c r="BO11" i="4" s="1"/>
  <c r="AO7" i="10"/>
  <c r="Y6" i="4"/>
  <c r="Y6" i="8"/>
  <c r="Y6" i="6"/>
  <c r="Y6" i="2"/>
  <c r="Y6" i="5"/>
  <c r="BU6" i="4"/>
  <c r="BU6" i="6"/>
  <c r="BU6" i="5"/>
  <c r="V8" i="8"/>
  <c r="V7" i="8" s="1"/>
  <c r="V8" i="6"/>
  <c r="V7" i="6" s="1"/>
  <c r="V8" i="4"/>
  <c r="V7" i="4" s="1"/>
  <c r="V8" i="2"/>
  <c r="V7" i="2" s="1"/>
  <c r="V8" i="5"/>
  <c r="V7" i="5" s="1"/>
  <c r="AT10" i="2"/>
  <c r="AT9" i="2" s="1"/>
  <c r="AH4" i="5"/>
  <c r="AH3" i="5" s="1"/>
  <c r="J6" i="5"/>
  <c r="BO6" i="7"/>
  <c r="AG5" i="10"/>
  <c r="AK5" i="10"/>
  <c r="S5" i="10"/>
  <c r="AQ5" i="10"/>
  <c r="W5" i="10"/>
  <c r="AC5" i="10"/>
  <c r="I5" i="10"/>
  <c r="AI5" i="10"/>
  <c r="K5" i="10"/>
  <c r="G5" i="10"/>
  <c r="AE5" i="10"/>
  <c r="AA5" i="10"/>
  <c r="Y5" i="10"/>
  <c r="U5" i="10"/>
  <c r="Q5" i="10"/>
  <c r="O5" i="10"/>
  <c r="AK9" i="10"/>
  <c r="AL9" i="10"/>
  <c r="AN9" i="10" s="1"/>
  <c r="AP9" i="10" s="1"/>
  <c r="BF7" i="13"/>
  <c r="AE6" i="8"/>
  <c r="AE6" i="7"/>
  <c r="AE6" i="5"/>
  <c r="AE6" i="6"/>
  <c r="AE6" i="2"/>
  <c r="AE6" i="3"/>
  <c r="AB8" i="8"/>
  <c r="AB7" i="8" s="1"/>
  <c r="AB8" i="2"/>
  <c r="AB7" i="2" s="1"/>
  <c r="AB8" i="7"/>
  <c r="AB7" i="7" s="1"/>
  <c r="AB8" i="5"/>
  <c r="AB7" i="5" s="1"/>
  <c r="AJ8" i="10"/>
  <c r="AI8" i="10"/>
  <c r="AK4" i="7"/>
  <c r="AK4" i="6"/>
  <c r="AK4" i="3"/>
  <c r="AK3" i="3" s="1"/>
  <c r="AK4" i="4"/>
  <c r="AK3" i="4" s="1"/>
  <c r="AK4" i="8"/>
  <c r="AK4" i="5"/>
  <c r="AK3" i="5" s="1"/>
  <c r="AH6" i="5"/>
  <c r="AH6" i="8"/>
  <c r="AH6" i="6"/>
  <c r="AH6" i="3"/>
  <c r="AH6" i="2"/>
  <c r="G6" i="2"/>
  <c r="G6" i="7"/>
  <c r="G6" i="5"/>
  <c r="BO3" i="5"/>
  <c r="G6" i="6"/>
  <c r="BC4" i="6"/>
  <c r="BC3" i="6" s="1"/>
  <c r="BC4" i="8"/>
  <c r="BC3" i="8" s="1"/>
  <c r="BC4" i="4"/>
  <c r="BC3" i="4" s="1"/>
  <c r="BC4" i="3"/>
  <c r="BC4" i="5"/>
  <c r="BC3" i="5" s="1"/>
  <c r="BC4" i="7"/>
  <c r="BC4" i="2"/>
  <c r="BC3" i="2" s="1"/>
  <c r="AN4" i="7"/>
  <c r="AN3" i="7" s="1"/>
  <c r="AN4" i="6"/>
  <c r="AN3" i="6" s="1"/>
  <c r="AN4" i="3"/>
  <c r="AN4" i="8"/>
  <c r="AN4" i="5"/>
  <c r="AB6" i="7"/>
  <c r="AB6" i="8"/>
  <c r="AB6" i="6"/>
  <c r="AB6" i="4"/>
  <c r="AB6" i="2"/>
  <c r="AB6" i="3"/>
  <c r="BI3" i="2"/>
  <c r="AN3" i="3"/>
  <c r="AQ3" i="4"/>
  <c r="BR3" i="5"/>
  <c r="V3" i="13"/>
  <c r="J4" i="7"/>
  <c r="J3" i="7" s="1"/>
  <c r="J4" i="2"/>
  <c r="J3" i="2" s="1"/>
  <c r="J4" i="4"/>
  <c r="J4" i="8"/>
  <c r="J3" i="8" s="1"/>
  <c r="J4" i="6"/>
  <c r="BF4" i="6"/>
  <c r="BF3" i="6" s="1"/>
  <c r="BF4" i="3"/>
  <c r="BF4" i="2"/>
  <c r="BF3" i="2" s="1"/>
  <c r="BF4" i="5"/>
  <c r="BF3" i="5" s="1"/>
  <c r="BF4" i="7"/>
  <c r="BF3" i="7" s="1"/>
  <c r="AQ4" i="7"/>
  <c r="AQ3" i="7" s="1"/>
  <c r="AQ4" i="3"/>
  <c r="AQ3" i="3" s="1"/>
  <c r="AQ4" i="8"/>
  <c r="AQ3" i="8" s="1"/>
  <c r="AQ4" i="6"/>
  <c r="AQ3" i="6" s="1"/>
  <c r="AQ4" i="5"/>
  <c r="AQ3" i="5" s="1"/>
  <c r="AK8" i="8"/>
  <c r="AK7" i="8" s="1"/>
  <c r="AK8" i="4"/>
  <c r="AK7" i="4" s="1"/>
  <c r="AK8" i="2"/>
  <c r="AK7" i="2" s="1"/>
  <c r="AK8" i="7"/>
  <c r="AK7" i="7" s="1"/>
  <c r="AK8" i="3"/>
  <c r="AK7" i="3" s="1"/>
  <c r="AK8" i="5"/>
  <c r="AK7" i="5" s="1"/>
  <c r="CA3" i="3"/>
  <c r="AB6" i="5"/>
  <c r="BR3" i="6"/>
  <c r="AB8" i="6"/>
  <c r="AB7" i="6" s="1"/>
  <c r="Y3" i="13"/>
  <c r="V3" i="15"/>
  <c r="AQ8" i="7"/>
  <c r="AQ7" i="7" s="1"/>
  <c r="AQ8" i="8"/>
  <c r="AQ7" i="8" s="1"/>
  <c r="AQ8" i="4"/>
  <c r="AQ7" i="4" s="1"/>
  <c r="AQ8" i="3"/>
  <c r="AQ7" i="3" s="1"/>
  <c r="AQ8" i="5"/>
  <c r="AQ7" i="5" s="1"/>
  <c r="Y10" i="7"/>
  <c r="Y9" i="7" s="1"/>
  <c r="Y10" i="8"/>
  <c r="Y9" i="8" s="1"/>
  <c r="Y10" i="6"/>
  <c r="Y9" i="6" s="1"/>
  <c r="Y10" i="4"/>
  <c r="Y9" i="4" s="1"/>
  <c r="Y10" i="3"/>
  <c r="Y9" i="3" s="1"/>
  <c r="S12" i="8"/>
  <c r="S11" i="8" s="1"/>
  <c r="S12" i="3"/>
  <c r="S12" i="6"/>
  <c r="S11" i="6" s="1"/>
  <c r="S11" i="3"/>
  <c r="U11" i="3" s="1"/>
  <c r="S12" i="2"/>
  <c r="S11" i="2" s="1"/>
  <c r="BC7" i="5"/>
  <c r="AK4" i="2"/>
  <c r="AK3" i="2" s="1"/>
  <c r="CA3" i="5"/>
  <c r="G6" i="8"/>
  <c r="E7" i="10"/>
  <c r="BO4" i="3"/>
  <c r="BO3" i="3" s="1"/>
  <c r="BO4" i="2"/>
  <c r="BO3" i="2" s="1"/>
  <c r="BO4" i="7"/>
  <c r="BO3" i="7" s="1"/>
  <c r="BO4" i="5"/>
  <c r="AT6" i="6"/>
  <c r="AT6" i="3"/>
  <c r="AT6" i="7"/>
  <c r="AT6" i="5"/>
  <c r="AT6" i="4"/>
  <c r="AW8" i="6"/>
  <c r="AW7" i="6" s="1"/>
  <c r="AW8" i="3"/>
  <c r="AW7" i="3" s="1"/>
  <c r="AW8" i="8"/>
  <c r="AW7" i="8" s="1"/>
  <c r="AW8" i="5"/>
  <c r="AW7" i="5" s="1"/>
  <c r="CA10" i="8"/>
  <c r="CA9" i="8" s="1"/>
  <c r="CA10" i="6"/>
  <c r="CA9" i="6" s="1"/>
  <c r="CA10" i="2"/>
  <c r="CA9" i="2" s="1"/>
  <c r="CA10" i="7"/>
  <c r="CA9" i="7" s="1"/>
  <c r="CA10" i="4"/>
  <c r="CA9" i="4" s="1"/>
  <c r="BU12" i="8"/>
  <c r="BU11" i="8" s="1"/>
  <c r="BU12" i="2"/>
  <c r="BU11" i="2" s="1"/>
  <c r="BU12" i="3"/>
  <c r="BU11" i="3" s="1"/>
  <c r="BU12" i="6"/>
  <c r="BU11" i="6" s="1"/>
  <c r="BU12" i="7"/>
  <c r="BU11" i="7" s="1"/>
  <c r="BU12" i="5"/>
  <c r="BU11" i="5" s="1"/>
  <c r="AN4" i="2"/>
  <c r="AN3" i="2" s="1"/>
  <c r="G7" i="2"/>
  <c r="Y12" i="4"/>
  <c r="Y11" i="4" s="1"/>
  <c r="S12" i="5"/>
  <c r="S11" i="5" s="1"/>
  <c r="AK8" i="6"/>
  <c r="AK7" i="6" s="1"/>
  <c r="S12" i="7"/>
  <c r="S11" i="7" s="1"/>
  <c r="BO12" i="8"/>
  <c r="BO11" i="8" s="1"/>
  <c r="BR3" i="13"/>
  <c r="AW6" i="7"/>
  <c r="AW6" i="3"/>
  <c r="AW6" i="8"/>
  <c r="AW6" i="5"/>
  <c r="AW6" i="4"/>
  <c r="AH10" i="8"/>
  <c r="AH9" i="8" s="1"/>
  <c r="AH10" i="5"/>
  <c r="AH9" i="5" s="1"/>
  <c r="AH10" i="3"/>
  <c r="AH9" i="3" s="1"/>
  <c r="AH10" i="7"/>
  <c r="AH9" i="7" s="1"/>
  <c r="AH10" i="6"/>
  <c r="AH9" i="6" s="1"/>
  <c r="AH10" i="2"/>
  <c r="AH9" i="2" s="1"/>
  <c r="AB12" i="7"/>
  <c r="AB11" i="7" s="1"/>
  <c r="AB12" i="2"/>
  <c r="AB11" i="2" s="1"/>
  <c r="AB12" i="6"/>
  <c r="AB11" i="6" s="1"/>
  <c r="AB12" i="4"/>
  <c r="AB11" i="4" s="1"/>
  <c r="BX12" i="8"/>
  <c r="BX11" i="8" s="1"/>
  <c r="BX12" i="2"/>
  <c r="BX11" i="2" s="1"/>
  <c r="BX12" i="3"/>
  <c r="BX11" i="3" s="1"/>
  <c r="BX12" i="6"/>
  <c r="BX11" i="6" s="1"/>
  <c r="BX12" i="5"/>
  <c r="BX11" i="5" s="1"/>
  <c r="AQ4" i="2"/>
  <c r="J4" i="3"/>
  <c r="AN4" i="4"/>
  <c r="AT3" i="5"/>
  <c r="AQ8" i="6"/>
  <c r="AQ7" i="6" s="1"/>
  <c r="BO4" i="8"/>
  <c r="BO3" i="8" s="1"/>
  <c r="M6" i="10"/>
  <c r="BU3" i="13"/>
  <c r="BI6" i="2"/>
  <c r="BI6" i="8"/>
  <c r="BI6" i="4"/>
  <c r="BI6" i="3"/>
  <c r="BI6" i="6"/>
  <c r="AQ10" i="6"/>
  <c r="AQ9" i="6" s="1"/>
  <c r="AQ10" i="4"/>
  <c r="AQ9" i="4" s="1"/>
  <c r="AQ10" i="7"/>
  <c r="AQ9" i="7" s="1"/>
  <c r="AQ10" i="5"/>
  <c r="AQ9" i="5" s="1"/>
  <c r="AQ10" i="3"/>
  <c r="AQ9" i="3" s="1"/>
  <c r="BX3" i="2"/>
  <c r="AZ6" i="2"/>
  <c r="AQ8" i="2"/>
  <c r="AQ7" i="2" s="1"/>
  <c r="AE10" i="2"/>
  <c r="AE9" i="2" s="1"/>
  <c r="BO12" i="2"/>
  <c r="BO11" i="2" s="1"/>
  <c r="BC3" i="3"/>
  <c r="J8" i="4"/>
  <c r="J7" i="4" s="1"/>
  <c r="BU10" i="4"/>
  <c r="BU9" i="4" s="1"/>
  <c r="BU10" i="5"/>
  <c r="BU9" i="5" s="1"/>
  <c r="AH6" i="7"/>
  <c r="AT6" i="8"/>
  <c r="AI7" i="10"/>
  <c r="O9" i="10"/>
  <c r="S6" i="8"/>
  <c r="S6" i="4"/>
  <c r="S6" i="6"/>
  <c r="S6" i="2"/>
  <c r="AN12" i="5"/>
  <c r="AN11" i="5" s="1"/>
  <c r="AE4" i="8"/>
  <c r="AE3" i="8" s="1"/>
  <c r="AE4" i="2"/>
  <c r="AE3" i="2" s="1"/>
  <c r="AE4" i="4"/>
  <c r="AE3" i="4" s="1"/>
  <c r="AE4" i="6"/>
  <c r="AE3" i="6" s="1"/>
  <c r="AE4" i="3"/>
  <c r="AE3" i="3" s="1"/>
  <c r="AE4" i="7"/>
  <c r="AE3" i="7" s="1"/>
  <c r="BX6" i="4"/>
  <c r="BX6" i="6"/>
  <c r="BX6" i="5"/>
  <c r="BX6" i="7"/>
  <c r="Y8" i="8"/>
  <c r="Y7" i="8" s="1"/>
  <c r="Y8" i="6"/>
  <c r="Y7" i="6" s="1"/>
  <c r="Y8" i="5"/>
  <c r="Y7" i="5" s="1"/>
  <c r="P3" i="2"/>
  <c r="AW10" i="2"/>
  <c r="AW9" i="2" s="1"/>
  <c r="G6" i="3"/>
  <c r="CA10" i="3"/>
  <c r="CA9" i="3" s="1"/>
  <c r="BR3" i="4"/>
  <c r="AH6" i="4"/>
  <c r="AW8" i="4"/>
  <c r="AW7" i="4" s="1"/>
  <c r="BU12" i="4"/>
  <c r="BU11" i="4" s="1"/>
  <c r="M6" i="5"/>
  <c r="G3" i="7"/>
  <c r="CA3" i="8"/>
  <c r="AB12" i="8"/>
  <c r="AB11" i="8" s="1"/>
  <c r="AQ7" i="10"/>
  <c r="BI4" i="7"/>
  <c r="BI3" i="7" s="1"/>
  <c r="BI4" i="5"/>
  <c r="BI3" i="5" s="1"/>
  <c r="BI4" i="2"/>
  <c r="AE8" i="8"/>
  <c r="AE7" i="8" s="1"/>
  <c r="AE8" i="5"/>
  <c r="AE7" i="5" s="1"/>
  <c r="AE8" i="2"/>
  <c r="AE7" i="2" s="1"/>
  <c r="AE8" i="4"/>
  <c r="AE7" i="4" s="1"/>
  <c r="AE8" i="7"/>
  <c r="AE7" i="7" s="1"/>
  <c r="AN3" i="5"/>
  <c r="V3" i="4"/>
  <c r="G9" i="12"/>
  <c r="BR3" i="14"/>
  <c r="AT4" i="8"/>
  <c r="AT4" i="5"/>
  <c r="AT4" i="7"/>
  <c r="CA8" i="8"/>
  <c r="CA7" i="8" s="1"/>
  <c r="CA8" i="5"/>
  <c r="CA7" i="5" s="1"/>
  <c r="P3" i="8"/>
  <c r="Q3" i="10"/>
  <c r="AI4" i="10"/>
  <c r="BA4" i="10"/>
  <c r="Q4" i="10"/>
  <c r="O4" i="10"/>
  <c r="AO4" i="10"/>
  <c r="W4" i="10"/>
  <c r="AQ4" i="10"/>
  <c r="U4" i="10"/>
  <c r="S4" i="10"/>
  <c r="AK4" i="10"/>
  <c r="M4" i="10"/>
  <c r="AM4" i="10"/>
  <c r="AA4" i="10"/>
  <c r="E4" i="10"/>
  <c r="AN6" i="10"/>
  <c r="AP6" i="10" s="1"/>
  <c r="AM6" i="10"/>
  <c r="J3" i="14"/>
  <c r="BF3" i="16"/>
  <c r="M3" i="14"/>
  <c r="J3" i="11"/>
  <c r="J5" i="13"/>
  <c r="BX7" i="14"/>
  <c r="G3" i="15"/>
  <c r="P4" i="7"/>
  <c r="P3" i="7" s="1"/>
  <c r="P4" i="8"/>
  <c r="P4" i="6"/>
  <c r="P3" i="6" s="1"/>
  <c r="BL4" i="7"/>
  <c r="BL3" i="7" s="1"/>
  <c r="BL4" i="2"/>
  <c r="BL3" i="2" s="1"/>
  <c r="AW4" i="5"/>
  <c r="AW3" i="5" s="1"/>
  <c r="AW4" i="3"/>
  <c r="AW3" i="3" s="1"/>
  <c r="AW4" i="7"/>
  <c r="AW3" i="7" s="1"/>
  <c r="AH8" i="5"/>
  <c r="AH7" i="5" s="1"/>
  <c r="AH8" i="8"/>
  <c r="AH7" i="8" s="1"/>
  <c r="AH8" i="2"/>
  <c r="AH7" i="2" s="1"/>
  <c r="AH8" i="7"/>
  <c r="AH7" i="7" s="1"/>
  <c r="AH8" i="4"/>
  <c r="AH7" i="4" s="1"/>
  <c r="G8" i="7"/>
  <c r="G7" i="7" s="1"/>
  <c r="G8" i="6"/>
  <c r="G7" i="6" s="1"/>
  <c r="G8" i="3"/>
  <c r="G7" i="3" s="1"/>
  <c r="G8" i="5"/>
  <c r="G7" i="5" s="1"/>
  <c r="AW4" i="2"/>
  <c r="AW3" i="2" s="1"/>
  <c r="AB3" i="4"/>
  <c r="P4" i="4"/>
  <c r="BI3" i="6"/>
  <c r="AZ4" i="8"/>
  <c r="AZ4" i="6"/>
  <c r="AZ3" i="6" s="1"/>
  <c r="AZ4" i="4"/>
  <c r="AZ3" i="4" s="1"/>
  <c r="AZ4" i="7"/>
  <c r="AZ3" i="7" s="1"/>
  <c r="AZ4" i="3"/>
  <c r="AZ3" i="3" s="1"/>
  <c r="AZ4" i="5"/>
  <c r="AZ3" i="5" s="1"/>
  <c r="AZ4" i="2"/>
  <c r="AK6" i="4"/>
  <c r="AK6" i="3"/>
  <c r="AK6" i="7"/>
  <c r="AK6" i="5"/>
  <c r="CA8" i="3"/>
  <c r="CA7" i="3" s="1"/>
  <c r="BL4" i="5"/>
  <c r="BL3" i="5" s="1"/>
  <c r="AS4" i="10"/>
  <c r="AI6" i="10"/>
  <c r="V4" i="8"/>
  <c r="V3" i="8" s="1"/>
  <c r="V4" i="3"/>
  <c r="V3" i="3" s="1"/>
  <c r="V4" i="5"/>
  <c r="BR4" i="3"/>
  <c r="BR3" i="3" s="1"/>
  <c r="BR4" i="2"/>
  <c r="BR3" i="2" s="1"/>
  <c r="BR4" i="7"/>
  <c r="BR3" i="7" s="1"/>
  <c r="BR4" i="4"/>
  <c r="AN6" i="6"/>
  <c r="AN6" i="4"/>
  <c r="AN6" i="7"/>
  <c r="AN6" i="3"/>
  <c r="AN8" i="6"/>
  <c r="AN7" i="6" s="1"/>
  <c r="AN8" i="4"/>
  <c r="AN7" i="4" s="1"/>
  <c r="AN8" i="7"/>
  <c r="AN7" i="7" s="1"/>
  <c r="AN8" i="2"/>
  <c r="AN7" i="2" s="1"/>
  <c r="AN8" i="8"/>
  <c r="AN7" i="8" s="1"/>
  <c r="P10" i="2"/>
  <c r="P9" i="2" s="1"/>
  <c r="P10" i="8"/>
  <c r="P9" i="8" s="1"/>
  <c r="BL10" i="8"/>
  <c r="BL9" i="8" s="1"/>
  <c r="BL10" i="2"/>
  <c r="BL9" i="2" s="1"/>
  <c r="BL10" i="4"/>
  <c r="BL9" i="4" s="1"/>
  <c r="BL10" i="3"/>
  <c r="BL9" i="3" s="1"/>
  <c r="J12" i="6"/>
  <c r="J11" i="6" s="1"/>
  <c r="J12" i="3"/>
  <c r="J11" i="3"/>
  <c r="L11" i="3" s="1"/>
  <c r="J12" i="5"/>
  <c r="J11" i="5" s="1"/>
  <c r="J12" i="8"/>
  <c r="J11" i="8" s="1"/>
  <c r="BF12" i="3"/>
  <c r="BF11" i="3" s="1"/>
  <c r="BF12" i="5"/>
  <c r="BF11" i="5" s="1"/>
  <c r="V4" i="4"/>
  <c r="AT4" i="6"/>
  <c r="AT3" i="6" s="1"/>
  <c r="BF12" i="7"/>
  <c r="BF11" i="7" s="1"/>
  <c r="BI3" i="8"/>
  <c r="G4" i="10"/>
  <c r="Y4" i="8"/>
  <c r="Y3" i="8" s="1"/>
  <c r="Y4" i="4"/>
  <c r="Y3" i="4" s="1"/>
  <c r="BU4" i="8"/>
  <c r="BU3" i="8" s="1"/>
  <c r="BU4" i="7"/>
  <c r="BX4" i="8"/>
  <c r="BX4" i="2"/>
  <c r="BX4" i="4"/>
  <c r="AQ6" i="6"/>
  <c r="AQ6" i="3"/>
  <c r="AQ6" i="5"/>
  <c r="AQ6" i="7"/>
  <c r="S10" i="2"/>
  <c r="S9" i="2" s="1"/>
  <c r="S10" i="8"/>
  <c r="S9" i="8" s="1"/>
  <c r="S10" i="7"/>
  <c r="S9" i="7" s="1"/>
  <c r="BO10" i="8"/>
  <c r="BO9" i="8" s="1"/>
  <c r="BO10" i="2"/>
  <c r="BO9" i="2" s="1"/>
  <c r="BO10" i="4"/>
  <c r="BO9" i="4" s="1"/>
  <c r="BO10" i="5"/>
  <c r="BO9" i="5" s="1"/>
  <c r="M12" i="7"/>
  <c r="M11" i="7" s="1"/>
  <c r="M12" i="3"/>
  <c r="M11" i="3"/>
  <c r="O11" i="3" s="1"/>
  <c r="M12" i="5"/>
  <c r="M11" i="5" s="1"/>
  <c r="M12" i="8"/>
  <c r="M11" i="8" s="1"/>
  <c r="M12" i="6"/>
  <c r="M11" i="6" s="1"/>
  <c r="BI12" i="6"/>
  <c r="BI11" i="6" s="1"/>
  <c r="BI12" i="5"/>
  <c r="BI11" i="5" s="1"/>
  <c r="BI12" i="3"/>
  <c r="BI11" i="3" s="1"/>
  <c r="BI12" i="7"/>
  <c r="BI11" i="7" s="1"/>
  <c r="S3" i="2"/>
  <c r="AZ3" i="2"/>
  <c r="AK6" i="2"/>
  <c r="G3" i="3"/>
  <c r="G8" i="4"/>
  <c r="G7" i="4" s="1"/>
  <c r="CA8" i="4"/>
  <c r="CA7" i="4" s="1"/>
  <c r="BF12" i="4"/>
  <c r="BF11" i="4" s="1"/>
  <c r="BR4" i="5"/>
  <c r="BL10" i="5"/>
  <c r="BL9" i="5" s="1"/>
  <c r="AW4" i="6"/>
  <c r="AW3" i="6" s="1"/>
  <c r="BL10" i="6"/>
  <c r="BL9" i="6" s="1"/>
  <c r="G9" i="7"/>
  <c r="BL3" i="8"/>
  <c r="AW4" i="8"/>
  <c r="AW3" i="8" s="1"/>
  <c r="I4" i="10"/>
  <c r="AU4" i="10"/>
  <c r="M5" i="11"/>
  <c r="J3" i="15"/>
  <c r="CD3" i="11"/>
  <c r="CA3" i="13"/>
  <c r="M3" i="15"/>
  <c r="AZ3" i="15"/>
  <c r="P6" i="2"/>
  <c r="P6" i="4"/>
  <c r="P6" i="8"/>
  <c r="V10" i="8"/>
  <c r="V9" i="8" s="1"/>
  <c r="V10" i="6"/>
  <c r="V9" i="6" s="1"/>
  <c r="P12" i="8"/>
  <c r="P11" i="8" s="1"/>
  <c r="P12" i="6"/>
  <c r="P11" i="6" s="1"/>
  <c r="P12" i="3"/>
  <c r="BL12" i="3"/>
  <c r="BL11" i="3" s="1"/>
  <c r="G3" i="5"/>
  <c r="P6" i="6"/>
  <c r="BL12" i="6"/>
  <c r="BL11" i="6" s="1"/>
  <c r="AT3" i="7"/>
  <c r="AZ3" i="8"/>
  <c r="V10" i="7"/>
  <c r="V9" i="7" s="1"/>
  <c r="BL12" i="7"/>
  <c r="BL11" i="7" s="1"/>
  <c r="M3" i="10"/>
  <c r="AT7" i="12"/>
  <c r="BU3" i="14"/>
  <c r="P7" i="14"/>
  <c r="BL7" i="14"/>
  <c r="AB4" i="2"/>
  <c r="AB4" i="4"/>
  <c r="V6" i="8"/>
  <c r="V6" i="4"/>
  <c r="BR6" i="8"/>
  <c r="BR6" i="2"/>
  <c r="BR6" i="4"/>
  <c r="AT8" i="6"/>
  <c r="AT7" i="6" s="1"/>
  <c r="AT8" i="3"/>
  <c r="AT7" i="3" s="1"/>
  <c r="AT8" i="4"/>
  <c r="AT7" i="4" s="1"/>
  <c r="BX10" i="7"/>
  <c r="BX9" i="7" s="1"/>
  <c r="BX10" i="8"/>
  <c r="BX9" i="8" s="1"/>
  <c r="V12" i="8"/>
  <c r="V11" i="8" s="1"/>
  <c r="V12" i="6"/>
  <c r="V11" i="6" s="1"/>
  <c r="V12" i="3"/>
  <c r="BR12" i="6"/>
  <c r="BR11" i="6" s="1"/>
  <c r="BR12" i="5"/>
  <c r="BR11" i="5" s="1"/>
  <c r="BR12" i="3"/>
  <c r="BR11" i="3" s="1"/>
  <c r="AB4" i="5"/>
  <c r="AB3" i="5" s="1"/>
  <c r="V6" i="6"/>
  <c r="V3" i="7"/>
  <c r="AB10" i="7"/>
  <c r="AB9" i="7" s="1"/>
  <c r="BR12" i="7"/>
  <c r="BR11" i="7" s="1"/>
  <c r="AB4" i="8"/>
  <c r="AB3" i="8" s="1"/>
  <c r="BL6" i="8"/>
  <c r="AT3" i="14"/>
  <c r="BU3" i="7"/>
  <c r="AK6" i="10"/>
  <c r="E6" i="10"/>
  <c r="K9" i="10"/>
  <c r="BU3" i="15"/>
  <c r="CD3" i="16"/>
  <c r="P8" i="10"/>
  <c r="O8" i="10"/>
  <c r="S7" i="12"/>
  <c r="M5" i="16"/>
  <c r="AZ10" i="7"/>
  <c r="AZ9" i="7" s="1"/>
  <c r="AZ10" i="6"/>
  <c r="AZ9" i="6" s="1"/>
  <c r="AZ10" i="3"/>
  <c r="AZ9" i="3" s="1"/>
  <c r="G10" i="3"/>
  <c r="G9" i="3" s="1"/>
  <c r="G10" i="8"/>
  <c r="G9" i="8" s="1"/>
  <c r="BC10" i="8"/>
  <c r="BC9" i="8" s="1"/>
  <c r="BC10" i="7"/>
  <c r="BC9" i="7" s="1"/>
  <c r="BC10" i="6"/>
  <c r="BC9" i="6" s="1"/>
  <c r="BC10" i="3"/>
  <c r="BC9" i="3" s="1"/>
  <c r="G10" i="4"/>
  <c r="G9" i="4" s="1"/>
  <c r="AI9" i="10"/>
  <c r="AB7" i="13"/>
  <c r="BX7" i="13"/>
  <c r="G4" i="6"/>
  <c r="G3" i="6" s="1"/>
  <c r="G4" i="4"/>
  <c r="G3" i="4" s="1"/>
  <c r="AZ12" i="7"/>
  <c r="AZ11" i="7" s="1"/>
  <c r="AZ12" i="8"/>
  <c r="AZ11" i="8" s="1"/>
  <c r="AZ12" i="4"/>
  <c r="AZ11" i="4" s="1"/>
  <c r="J10" i="4"/>
  <c r="J9" i="4" s="1"/>
  <c r="Y3" i="7"/>
  <c r="G3" i="12"/>
  <c r="G7" i="14"/>
  <c r="V7" i="16"/>
  <c r="AZ10" i="2"/>
  <c r="AZ9" i="2" s="1"/>
  <c r="M8" i="10"/>
  <c r="Y7" i="13"/>
  <c r="BU7" i="13"/>
  <c r="BC12" i="8"/>
  <c r="BC11" i="8" s="1"/>
  <c r="BC12" i="4"/>
  <c r="BC11" i="4" s="1"/>
  <c r="G10" i="2"/>
  <c r="G9" i="2" s="1"/>
  <c r="M10" i="4"/>
  <c r="G4" i="5"/>
  <c r="AT12" i="7"/>
  <c r="AT11" i="7" s="1"/>
  <c r="AK3" i="10"/>
  <c r="AG3" i="10"/>
  <c r="O3" i="10"/>
  <c r="I3" i="10"/>
  <c r="K3" i="10"/>
  <c r="G6" i="10"/>
  <c r="Y3" i="14"/>
  <c r="BF7" i="14"/>
  <c r="P7" i="15"/>
  <c r="BO3" i="11"/>
  <c r="AN7" i="14"/>
  <c r="AK3" i="16"/>
  <c r="G9" i="16"/>
  <c r="AM9" i="10"/>
  <c r="P3" i="11"/>
  <c r="BR7" i="11"/>
  <c r="G7" i="15"/>
  <c r="BC7" i="15"/>
  <c r="J3" i="16"/>
  <c r="AH12" i="6"/>
  <c r="AH11" i="6" s="1"/>
  <c r="CA7" i="16"/>
  <c r="M9" i="16"/>
  <c r="G9" i="15"/>
  <c r="AH7" i="12"/>
  <c r="CD7" i="12"/>
  <c r="AO9" i="10"/>
  <c r="G9" i="10"/>
  <c r="AY4" i="10" l="1"/>
  <c r="AQ9" i="10"/>
  <c r="AR9" i="10"/>
  <c r="AL8" i="10"/>
  <c r="AK8" i="10"/>
  <c r="AP3" i="10"/>
  <c r="AO3" i="10"/>
  <c r="R8" i="10"/>
  <c r="Q8" i="10"/>
  <c r="AD4" i="10"/>
  <c r="AE4" i="10" s="1"/>
  <c r="AC4" i="10"/>
  <c r="X6" i="10"/>
  <c r="W6" i="10"/>
  <c r="T9" i="10"/>
  <c r="S9" i="10"/>
  <c r="S6" i="10"/>
  <c r="AT5" i="10"/>
  <c r="AS5" i="10"/>
  <c r="AR6" i="10"/>
  <c r="AQ6" i="10"/>
  <c r="AO6" i="10"/>
  <c r="U6" i="10"/>
  <c r="V3" i="10"/>
  <c r="U3" i="10"/>
  <c r="AV5" i="10" l="1"/>
  <c r="AU5" i="10"/>
  <c r="V9" i="10"/>
  <c r="U9" i="10"/>
  <c r="Z6" i="10"/>
  <c r="Y6" i="10"/>
  <c r="T8" i="10"/>
  <c r="S8" i="10"/>
  <c r="W3" i="10"/>
  <c r="X3" i="10"/>
  <c r="AR3" i="10"/>
  <c r="AQ3" i="10"/>
  <c r="AN8" i="10"/>
  <c r="AM8" i="10"/>
  <c r="AS6" i="10"/>
  <c r="AT6" i="10"/>
  <c r="AT9" i="10"/>
  <c r="AS9" i="10"/>
  <c r="AP8" i="10" l="1"/>
  <c r="AO8" i="10"/>
  <c r="AT3" i="10"/>
  <c r="AS3" i="10"/>
  <c r="Z3" i="10"/>
  <c r="Y3" i="10"/>
  <c r="AB6" i="10"/>
  <c r="AA6" i="10"/>
  <c r="AV6" i="10"/>
  <c r="AU6" i="10"/>
  <c r="V8" i="10"/>
  <c r="U8" i="10"/>
  <c r="X9" i="10"/>
  <c r="W9" i="10"/>
  <c r="AV9" i="10"/>
  <c r="AU9" i="10"/>
  <c r="AX5" i="10"/>
  <c r="AW5" i="10"/>
  <c r="AX9" i="10" l="1"/>
  <c r="AW9" i="10"/>
  <c r="X8" i="10"/>
  <c r="W8" i="10"/>
  <c r="AX6" i="10"/>
  <c r="AW6" i="10"/>
  <c r="AD6" i="10"/>
  <c r="AE6" i="10" s="1"/>
  <c r="AC6" i="10"/>
  <c r="AB3" i="10"/>
  <c r="AA3" i="10"/>
  <c r="AV3" i="10"/>
  <c r="AU3" i="10"/>
  <c r="Z9" i="10"/>
  <c r="Y9" i="10"/>
  <c r="AZ5" i="10"/>
  <c r="BA5" i="10" s="1"/>
  <c r="AY5" i="10"/>
  <c r="AR8" i="10"/>
  <c r="AQ8" i="10"/>
  <c r="Z8" i="10" l="1"/>
  <c r="Y8" i="10"/>
  <c r="AB9" i="10"/>
  <c r="AA9" i="10"/>
  <c r="AX3" i="10"/>
  <c r="AW3" i="10"/>
  <c r="AD3" i="10"/>
  <c r="AE3" i="10" s="1"/>
  <c r="AC3" i="10"/>
  <c r="AY6" i="10"/>
  <c r="AZ6" i="10"/>
  <c r="BA6" i="10" s="1"/>
  <c r="AT8" i="10"/>
  <c r="AS8" i="10"/>
  <c r="AZ9" i="10"/>
  <c r="BA9" i="10" s="1"/>
  <c r="AY9" i="10"/>
  <c r="AU8" i="10" l="1"/>
  <c r="AV8" i="10"/>
  <c r="AZ3" i="10"/>
  <c r="BA3" i="10" s="1"/>
  <c r="AY3" i="10"/>
  <c r="AD9" i="10"/>
  <c r="AE9" i="10" s="1"/>
  <c r="AC9" i="10"/>
  <c r="AB8" i="10"/>
  <c r="AA8" i="10"/>
  <c r="AD8" i="10" l="1"/>
  <c r="AE8" i="10" s="1"/>
  <c r="AC8" i="10"/>
  <c r="AW8" i="10"/>
  <c r="AX8" i="10"/>
  <c r="AY8" i="10" l="1"/>
  <c r="AZ8" i="10"/>
  <c r="BA8" i="10" s="1"/>
</calcChain>
</file>

<file path=xl/sharedStrings.xml><?xml version="1.0" encoding="utf-8"?>
<sst xmlns="http://schemas.openxmlformats.org/spreadsheetml/2006/main" count="1938" uniqueCount="122">
  <si>
    <t>Кадастр</t>
  </si>
  <si>
    <t>Месяц</t>
  </si>
  <si>
    <t>Потребл.</t>
  </si>
  <si>
    <t>Потребитель</t>
  </si>
  <si>
    <t>ГИРА</t>
  </si>
  <si>
    <t>знач.</t>
  </si>
  <si>
    <t>руб.</t>
  </si>
  <si>
    <t>Площадь</t>
  </si>
  <si>
    <t>Электричество</t>
  </si>
  <si>
    <t>ИНН</t>
  </si>
  <si>
    <t>Электричество тариф</t>
  </si>
  <si>
    <t>Кол-во помещ</t>
  </si>
  <si>
    <t>Водоканал холодная вода</t>
  </si>
  <si>
    <t>Водоканал холодная Тариф</t>
  </si>
  <si>
    <t>Водоканал горячая вода</t>
  </si>
  <si>
    <t>Водоканал горячая Тариф</t>
  </si>
  <si>
    <t>Тепло</t>
  </si>
  <si>
    <t>Тепло тариф</t>
  </si>
  <si>
    <t>Экспл. Услуги от УК</t>
  </si>
  <si>
    <t>Экспл. Услуги от УК тариф</t>
  </si>
  <si>
    <t>Физическое снятие показаний</t>
  </si>
  <si>
    <t>Из счёт фактуры должно подгятиваться</t>
  </si>
  <si>
    <t>Расчётные ячейки</t>
  </si>
  <si>
    <t>знач</t>
  </si>
  <si>
    <t>Арендатор</t>
  </si>
  <si>
    <t>11111</t>
  </si>
  <si>
    <t>Имя 1</t>
  </si>
  <si>
    <t>Контакт 1</t>
  </si>
  <si>
    <t>22222</t>
  </si>
  <si>
    <t>Имя 2</t>
  </si>
  <si>
    <t>Контакт 2</t>
  </si>
  <si>
    <t>Номер счетчика</t>
  </si>
  <si>
    <t>678766</t>
  </si>
  <si>
    <t>67656</t>
  </si>
  <si>
    <t xml:space="preserve"> 43432,34343</t>
  </si>
  <si>
    <t>111  000111,000788,000191, 11111111, 11111110</t>
  </si>
  <si>
    <t>Договор</t>
  </si>
  <si>
    <t>Помещение</t>
  </si>
  <si>
    <t>Форма бизнеса</t>
  </si>
  <si>
    <t>Вид деятельности</t>
  </si>
  <si>
    <t>Листы</t>
  </si>
  <si>
    <t>Акт п/п</t>
  </si>
  <si>
    <t>Счет</t>
  </si>
  <si>
    <t>Собственник</t>
  </si>
  <si>
    <t>Фамилия</t>
  </si>
  <si>
    <t>Имя</t>
  </si>
  <si>
    <t>Отчество</t>
  </si>
  <si>
    <t>Срок аренды</t>
  </si>
  <si>
    <t>№99 12.02.2024</t>
  </si>
  <si>
    <t>1006:3090</t>
  </si>
  <si>
    <t>ИП</t>
  </si>
  <si>
    <t>Гареева А.В.</t>
  </si>
  <si>
    <t>Магазин обоев</t>
  </si>
  <si>
    <t>К123,40</t>
  </si>
  <si>
    <t xml:space="preserve">Альфия    </t>
  </si>
  <si>
    <t>Карина</t>
  </si>
  <si>
    <t>ООО ГИРА</t>
  </si>
  <si>
    <t>тестов</t>
  </si>
  <si>
    <t>тест</t>
  </si>
  <si>
    <t>тестович</t>
  </si>
  <si>
    <t>№11 07.02.2025</t>
  </si>
  <si>
    <t xml:space="preserve"> Гарипов И.К.</t>
  </si>
  <si>
    <t>памятнки</t>
  </si>
  <si>
    <t>К102,60</t>
  </si>
  <si>
    <t xml:space="preserve">Ильнар </t>
  </si>
  <si>
    <t>-</t>
  </si>
  <si>
    <t>понов</t>
  </si>
  <si>
    <t>пон</t>
  </si>
  <si>
    <t>понович</t>
  </si>
  <si>
    <t>№56 02.02.2025</t>
  </si>
  <si>
    <t>ООО</t>
  </si>
  <si>
    <t>Нал</t>
  </si>
  <si>
    <t>Врач</t>
  </si>
  <si>
    <t>К45,20</t>
  </si>
  <si>
    <t>Крихтин</t>
  </si>
  <si>
    <t>Кирилл</t>
  </si>
  <si>
    <t>Валентинович</t>
  </si>
  <si>
    <t>№1 27.11.2025</t>
  </si>
  <si>
    <t>Мясоо</t>
  </si>
  <si>
    <t>Мясная</t>
  </si>
  <si>
    <t>К43,30</t>
  </si>
  <si>
    <t>№73 27.11.2023</t>
  </si>
  <si>
    <t>Галяутдинова Н.А.</t>
  </si>
  <si>
    <t>Шоурум одежды</t>
  </si>
  <si>
    <t>К36,00</t>
  </si>
  <si>
    <t xml:space="preserve">Наталья </t>
  </si>
  <si>
    <t>ИП Султанов Р.М</t>
  </si>
  <si>
    <t>№12 12.12.2000</t>
  </si>
  <si>
    <t>1111111111</t>
  </si>
  <si>
    <t>пввпа</t>
  </si>
  <si>
    <t>зож</t>
  </si>
  <si>
    <t>K8888.0</t>
  </si>
  <si>
    <t>К28,35</t>
  </si>
  <si>
    <t>89393374081</t>
  </si>
  <si>
    <t>Шагиахметов</t>
  </si>
  <si>
    <t>Амин</t>
  </si>
  <si>
    <t>Айратович</t>
  </si>
  <si>
    <t>12.12.2044</t>
  </si>
  <si>
    <t>12 12.12.2020</t>
  </si>
  <si>
    <t>1234567890</t>
  </si>
  <si>
    <t>РАНЕЛЬ-ПАНЕЛЬ</t>
  </si>
  <si>
    <t>Шнели-ПАНЕЛИ</t>
  </si>
  <si>
    <t>K100.0</t>
  </si>
  <si>
    <t>89393497741</t>
  </si>
  <si>
    <t>Нагимов</t>
  </si>
  <si>
    <t>Ранель</t>
  </si>
  <si>
    <t>Алмазович</t>
  </si>
  <si>
    <t>12.12.2027</t>
  </si>
  <si>
    <t>№12 12.12.2026</t>
  </si>
  <si>
    <t>Ранель-Панель</t>
  </si>
  <si>
    <t>Панели</t>
  </si>
  <si>
    <t>12.12.2028</t>
  </si>
  <si>
    <t>№12 12.12.20026</t>
  </si>
  <si>
    <t>шнели панели</t>
  </si>
  <si>
    <t>12.12.2026</t>
  </si>
  <si>
    <t>Ставка</t>
  </si>
  <si>
    <t>Сумма</t>
  </si>
  <si>
    <t>30 или 1 го выставляется до 5 го увед</t>
  </si>
  <si>
    <t>246105</t>
  </si>
  <si>
    <t>32480</t>
  </si>
  <si>
    <t>17931</t>
  </si>
  <si>
    <t xml:space="preserve"> 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</si>
</sst>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i/>
      <sz val="11"/>
      <color rgb="FFFF0000"/>
      <name val="Calibri (Основной текст)"/>
      <charset val="204"/>
    </font>
    <font>
      <sz val="11"/>
      <color rgb="FF000000"/>
      <name val="Calibri"/>
      <family val="2"/>
      <charset val="204"/>
      <scheme val="minor"/>
    </font>
    <font>
      <sz val="12"/>
      <color rgb="FF000000"/>
      <name val="Calibri (Основной текст)"/>
      <charset val="204"/>
    </font>
    <font>
      <b/>
      <i/>
      <sz val="11"/>
      <color rgb="FF000000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/>
    <xf numFmtId="0" fontId="0" fillId="0" borderId="4" xfId="0" applyBorder="1"/>
    <xf numFmtId="0" fontId="1" fillId="0" borderId="0" xfId="0" applyFont="1"/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4" xfId="0" applyFont="1" applyFill="1" applyBorder="1"/>
    <xf numFmtId="0" fontId="3" fillId="4" borderId="4" xfId="0" applyFont="1" applyFill="1" applyBorder="1"/>
    <xf numFmtId="0" fontId="3" fillId="5" borderId="4" xfId="0" applyFont="1" applyFill="1" applyBorder="1"/>
    <xf numFmtId="0" fontId="0" fillId="2" borderId="0" xfId="0" applyFill="1"/>
    <xf numFmtId="0" fontId="0" fillId="3" borderId="0" xfId="0" applyFill="1"/>
    <xf numFmtId="0" fontId="0" fillId="5" borderId="0" xfId="0" applyFill="1"/>
    <xf numFmtId="4" fontId="3" fillId="3" borderId="4" xfId="0" applyNumberFormat="1" applyFont="1" applyFill="1" applyBorder="1"/>
    <xf numFmtId="17" fontId="0" fillId="0" borderId="1" xfId="0" applyNumberFormat="1" applyBorder="1" applyAlignment="1">
      <alignment horizontal="center"/>
    </xf>
    <xf numFmtId="3" fontId="0" fillId="0" borderId="0" xfId="0" applyNumberFormat="1"/>
    <xf numFmtId="3" fontId="3" fillId="0" borderId="0" xfId="0" applyNumberFormat="1" applyFont="1"/>
    <xf numFmtId="4" fontId="3" fillId="0" borderId="0" xfId="0" applyNumberFormat="1" applyFont="1"/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/>
    </xf>
    <xf numFmtId="3" fontId="3" fillId="5" borderId="5" xfId="0" applyNumberFormat="1" applyFont="1" applyFill="1" applyBorder="1" applyAlignment="1">
      <alignment horizontal="center"/>
    </xf>
    <xf numFmtId="4" fontId="3" fillId="5" borderId="5" xfId="0" applyNumberFormat="1" applyFon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4" fontId="3" fillId="7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0" fillId="0" borderId="5" xfId="0" applyBorder="1"/>
    <xf numFmtId="0" fontId="0" fillId="8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5" xfId="0" applyFill="1" applyBorder="1"/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/>
    </xf>
    <xf numFmtId="0" fontId="7" fillId="0" borderId="0" xfId="0" applyFont="1"/>
    <xf numFmtId="14" fontId="7" fillId="0" borderId="5" xfId="0" applyNumberFormat="1" applyFont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14" fontId="7" fillId="12" borderId="5" xfId="0" applyNumberFormat="1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0" fillId="8" borderId="0" xfId="0" applyFill="1"/>
    <xf numFmtId="0" fontId="0" fillId="8" borderId="5" xfId="0" applyFill="1" applyBorder="1"/>
    <xf numFmtId="0" fontId="0" fillId="8" borderId="5" xfId="0" applyFill="1" applyBorder="1" applyAlignment="1">
      <alignment horizontal="right"/>
    </xf>
    <xf numFmtId="0" fontId="0" fillId="8" borderId="6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 vertical="center"/>
    </xf>
    <xf numFmtId="17" fontId="0" fillId="0" borderId="0" xfId="0" applyNumberFormat="1"/>
    <xf numFmtId="0" fontId="0" fillId="11" borderId="4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3" borderId="4" xfId="0" applyFill="1" applyBorder="1"/>
    <xf numFmtId="0" fontId="0" fillId="8" borderId="9" xfId="0" applyFill="1" applyBorder="1" applyAlignment="1">
      <alignment horizontal="right"/>
    </xf>
    <xf numFmtId="0" fontId="0" fillId="8" borderId="4" xfId="0" applyFill="1" applyBorder="1"/>
    <xf numFmtId="0" fontId="0" fillId="2" borderId="2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0" fillId="14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5" fillId="15" borderId="10" xfId="0" applyFont="1" applyFill="1" applyBorder="1" applyAlignment="1">
      <alignment horizontal="center"/>
    </xf>
    <xf numFmtId="3" fontId="5" fillId="16" borderId="11" xfId="0" applyNumberFormat="1" applyFont="1" applyFill="1" applyBorder="1" applyAlignment="1">
      <alignment horizontal="center"/>
    </xf>
    <xf numFmtId="3" fontId="9" fillId="17" borderId="11" xfId="0" applyNumberFormat="1" applyFont="1" applyFill="1" applyBorder="1" applyAlignment="1">
      <alignment horizontal="center"/>
    </xf>
    <xf numFmtId="4" fontId="9" fillId="17" borderId="11" xfId="0" applyNumberFormat="1" applyFont="1" applyFill="1" applyBorder="1" applyAlignment="1">
      <alignment horizontal="center"/>
    </xf>
    <xf numFmtId="3" fontId="5" fillId="0" borderId="12" xfId="0" applyNumberFormat="1" applyFont="1" applyBorder="1" applyAlignment="1">
      <alignment horizontal="center"/>
    </xf>
    <xf numFmtId="4" fontId="9" fillId="18" borderId="12" xfId="0" applyNumberFormat="1" applyFont="1" applyFill="1" applyBorder="1" applyAlignment="1">
      <alignment horizontal="center"/>
    </xf>
    <xf numFmtId="0" fontId="3" fillId="0" borderId="4" xfId="0" applyFont="1" applyBorder="1"/>
    <xf numFmtId="17" fontId="0" fillId="6" borderId="1" xfId="0" applyNumberFormat="1" applyFill="1" applyBorder="1"/>
    <xf numFmtId="0" fontId="3" fillId="0" borderId="5" xfId="0" applyFont="1" applyBorder="1"/>
    <xf numFmtId="17" fontId="0" fillId="6" borderId="5" xfId="0" applyNumberFormat="1" applyFill="1" applyBorder="1"/>
    <xf numFmtId="14" fontId="0" fillId="0" borderId="5" xfId="0" applyNumberFormat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0" fillId="0" borderId="14" xfId="0" applyBorder="1"/>
    <xf numFmtId="0" fontId="0" fillId="11" borderId="14" xfId="0" applyFill="1" applyBorder="1"/>
    <xf numFmtId="0" fontId="3" fillId="11" borderId="4" xfId="0" applyFont="1" applyFill="1" applyBorder="1"/>
    <xf numFmtId="0" fontId="2" fillId="0" borderId="15" xfId="0" applyFont="1" applyBorder="1" applyAlignment="1">
      <alignment vertical="center" wrapText="1"/>
    </xf>
    <xf numFmtId="0" fontId="5" fillId="10" borderId="16" xfId="0" applyFont="1" applyFill="1" applyBorder="1" applyAlignment="1">
      <alignment horizontal="center"/>
    </xf>
    <xf numFmtId="164" fontId="7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n/Downloads/Telegram%20Desktop/&#1043;&#1048;&#1056;&#1040;_10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3;&#1048;&#1056;&#1040;_1006&#1090;&#1077;&#1082;&#1082;&#107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  <sheetName val="ЛИСТШАБЛ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1006:3090</v>
          </cell>
          <cell r="F2" t="str">
            <v>Гареева А.В.</v>
          </cell>
          <cell r="H2">
            <v>123.4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6"/>
  <sheetViews>
    <sheetView zoomScale="150" zoomScaleNormal="98" workbookViewId="0">
      <pane xSplit="3" ySplit="16" topLeftCell="D17" activePane="bottomRight" state="frozen"/>
      <selection pane="topRight" activeCell="D1" sqref="D1"/>
      <selection pane="bottomLeft" activeCell="A16" sqref="A16"/>
      <selection pane="bottomRight" activeCell="K7" sqref="K7"/>
    </sheetView>
  </sheetViews>
  <sheetFormatPr defaultColWidth="10" defaultRowHeight="15"/>
  <cols>
    <col min="1" max="1" width="12" customWidth="1"/>
    <col min="2" max="2" width="11" customWidth="1"/>
    <col min="3" max="3" width="24.28515625" style="1" bestFit="1" customWidth="1"/>
    <col min="4" max="4" width="9.28515625" bestFit="1" customWidth="1"/>
    <col min="5" max="5" width="7.28515625" bestFit="1" customWidth="1"/>
    <col min="6" max="6" width="9.85546875" style="1" bestFit="1" customWidth="1"/>
    <col min="7" max="7" width="10" style="1" bestFit="1" customWidth="1"/>
    <col min="8" max="8" width="11.28515625" customWidth="1"/>
    <col min="9" max="9" width="14.7109375" style="1" customWidth="1"/>
    <col min="10" max="10" width="10" style="1" bestFit="1" customWidth="1"/>
    <col min="11" max="11" width="10.85546875" customWidth="1"/>
    <col min="12" max="12" width="9.85546875" style="1" bestFit="1" customWidth="1"/>
    <col min="13" max="13" width="13.5703125" style="1" customWidth="1"/>
    <col min="14" max="14" width="7.140625" bestFit="1" customWidth="1"/>
    <col min="15" max="15" width="9.85546875" style="1" bestFit="1" customWidth="1"/>
    <col min="16" max="16" width="8.42578125" style="1" bestFit="1" customWidth="1"/>
    <col min="17" max="17" width="7.42578125" bestFit="1" customWidth="1"/>
    <col min="18" max="18" width="9.85546875" style="1" bestFit="1" customWidth="1"/>
    <col min="19" max="19" width="8.42578125" style="1" bestFit="1" customWidth="1"/>
    <col min="20" max="20" width="7" bestFit="1" customWidth="1"/>
    <col min="21" max="21" width="9.85546875" style="1" bestFit="1" customWidth="1"/>
    <col min="22" max="22" width="8.42578125" style="1" bestFit="1" customWidth="1"/>
    <col min="23" max="23" width="14.42578125" customWidth="1"/>
    <col min="24" max="24" width="9.85546875" style="1" bestFit="1" customWidth="1"/>
    <col min="25" max="25" width="8.42578125" style="1" bestFit="1" customWidth="1"/>
    <col min="26" max="26" width="12.42578125" customWidth="1"/>
    <col min="27" max="27" width="9.85546875" style="1" bestFit="1" customWidth="1"/>
    <col min="28" max="28" width="8.42578125" style="1" bestFit="1" customWidth="1"/>
    <col min="29" max="29" width="6.42578125" bestFit="1" customWidth="1"/>
    <col min="30" max="30" width="9.85546875" style="1" bestFit="1" customWidth="1"/>
    <col min="31" max="31" width="8.42578125" style="1" bestFit="1" customWidth="1"/>
    <col min="32" max="32" width="6.85546875" bestFit="1" customWidth="1"/>
    <col min="33" max="33" width="9.85546875" style="1" bestFit="1" customWidth="1"/>
    <col min="34" max="34" width="8.42578125" style="1" bestFit="1" customWidth="1"/>
    <col min="35" max="35" width="6.85546875" bestFit="1" customWidth="1"/>
    <col min="36" max="36" width="9.85546875" style="1" bestFit="1" customWidth="1"/>
    <col min="37" max="37" width="8.42578125" style="1" bestFit="1" customWidth="1"/>
    <col min="38" max="38" width="7" bestFit="1" customWidth="1"/>
    <col min="39" max="39" width="9.85546875" style="1" bestFit="1" customWidth="1"/>
    <col min="40" max="40" width="8.42578125" style="1" bestFit="1" customWidth="1"/>
    <col min="41" max="41" width="7.85546875" bestFit="1" customWidth="1"/>
    <col min="42" max="42" width="9.85546875" style="1" bestFit="1" customWidth="1"/>
    <col min="43" max="43" width="8.42578125" style="1" bestFit="1" customWidth="1"/>
    <col min="44" max="44" width="6.28515625" style="1" bestFit="1" customWidth="1"/>
    <col min="45" max="45" width="9.85546875" style="1" bestFit="1" customWidth="1"/>
    <col min="46" max="46" width="8.42578125" bestFit="1" customWidth="1"/>
    <col min="47" max="47" width="7.85546875" bestFit="1" customWidth="1"/>
    <col min="48" max="48" width="9.85546875" bestFit="1" customWidth="1"/>
    <col min="49" max="49" width="8.42578125" bestFit="1" customWidth="1"/>
    <col min="50" max="50" width="6.85546875" bestFit="1" customWidth="1"/>
    <col min="51" max="51" width="9.85546875" bestFit="1" customWidth="1"/>
    <col min="52" max="52" width="8.42578125" bestFit="1" customWidth="1"/>
    <col min="53" max="53" width="6" bestFit="1" customWidth="1"/>
    <col min="54" max="54" width="9.85546875" bestFit="1" customWidth="1"/>
    <col min="55" max="55" width="8.42578125" bestFit="1" customWidth="1"/>
    <col min="56" max="56" width="7" bestFit="1" customWidth="1"/>
    <col min="57" max="57" width="9.85546875" bestFit="1" customWidth="1"/>
    <col min="58" max="58" width="8.42578125" bestFit="1" customWidth="1"/>
    <col min="59" max="59" width="7" bestFit="1" customWidth="1"/>
    <col min="60" max="60" width="9.85546875" bestFit="1" customWidth="1"/>
    <col min="61" max="61" width="8.42578125" bestFit="1" customWidth="1"/>
    <col min="62" max="62" width="6.28515625" bestFit="1" customWidth="1"/>
    <col min="63" max="63" width="9.85546875" bestFit="1" customWidth="1"/>
    <col min="64" max="64" width="8.42578125" bestFit="1" customWidth="1"/>
    <col min="65" max="65" width="6.140625" bestFit="1" customWidth="1"/>
    <col min="66" max="66" width="9.85546875" bestFit="1" customWidth="1"/>
    <col min="67" max="67" width="8.42578125" bestFit="1" customWidth="1"/>
    <col min="68" max="68" width="6.85546875" bestFit="1" customWidth="1"/>
    <col min="69" max="69" width="9.85546875" bestFit="1" customWidth="1"/>
    <col min="70" max="70" width="8.42578125" bestFit="1" customWidth="1"/>
    <col min="71" max="71" width="7.42578125" bestFit="1" customWidth="1"/>
    <col min="72" max="72" width="9.85546875" bestFit="1" customWidth="1"/>
    <col min="73" max="73" width="8.42578125" bestFit="1" customWidth="1"/>
    <col min="74" max="74" width="7" bestFit="1" customWidth="1"/>
    <col min="75" max="75" width="9.85546875" bestFit="1" customWidth="1"/>
    <col min="76" max="76" width="8.42578125" bestFit="1" customWidth="1"/>
    <col min="77" max="77" width="6.42578125" bestFit="1" customWidth="1"/>
    <col min="78" max="78" width="9.85546875" bestFit="1" customWidth="1"/>
    <col min="79" max="79" width="8.42578125" bestFit="1" customWidth="1"/>
  </cols>
  <sheetData>
    <row r="1" spans="1:79">
      <c r="A1" s="46" t="s">
        <v>0</v>
      </c>
      <c r="B1" s="58">
        <v>1006</v>
      </c>
      <c r="C1" s="5" t="s">
        <v>1</v>
      </c>
      <c r="D1" s="13">
        <v>45962</v>
      </c>
      <c r="E1" s="13">
        <v>45992</v>
      </c>
      <c r="F1" s="73" t="s">
        <v>2</v>
      </c>
      <c r="G1" s="74">
        <v>45962</v>
      </c>
      <c r="H1" s="13">
        <v>46023</v>
      </c>
      <c r="I1" s="73" t="s">
        <v>2</v>
      </c>
      <c r="J1" s="74">
        <v>45992</v>
      </c>
      <c r="K1" s="13">
        <v>46054</v>
      </c>
      <c r="L1" s="73" t="s">
        <v>2</v>
      </c>
      <c r="M1" s="74">
        <v>46023</v>
      </c>
      <c r="N1" s="13">
        <v>46082</v>
      </c>
      <c r="O1" s="73" t="s">
        <v>2</v>
      </c>
      <c r="P1" s="74">
        <v>46054</v>
      </c>
      <c r="Q1" s="13">
        <v>46113</v>
      </c>
      <c r="R1" s="73" t="s">
        <v>2</v>
      </c>
      <c r="S1" s="74">
        <v>46082</v>
      </c>
      <c r="T1" s="13">
        <v>46143</v>
      </c>
      <c r="U1" s="73" t="s">
        <v>2</v>
      </c>
      <c r="V1" s="74">
        <v>46113</v>
      </c>
      <c r="W1" s="13">
        <v>46174</v>
      </c>
      <c r="X1" s="73" t="s">
        <v>2</v>
      </c>
      <c r="Y1" s="74">
        <v>46143</v>
      </c>
      <c r="Z1" s="13">
        <v>46204</v>
      </c>
      <c r="AA1" s="73" t="s">
        <v>2</v>
      </c>
      <c r="AB1" s="74">
        <v>46174</v>
      </c>
      <c r="AC1" s="13">
        <v>46235</v>
      </c>
      <c r="AD1" s="73" t="s">
        <v>2</v>
      </c>
      <c r="AE1" s="74">
        <v>46204</v>
      </c>
      <c r="AF1" s="13">
        <v>46266</v>
      </c>
      <c r="AG1" s="73" t="s">
        <v>2</v>
      </c>
      <c r="AH1" s="74">
        <v>46235</v>
      </c>
      <c r="AI1" s="13">
        <v>46296</v>
      </c>
      <c r="AJ1" s="73" t="s">
        <v>2</v>
      </c>
      <c r="AK1" s="74">
        <v>46266</v>
      </c>
      <c r="AL1" s="13">
        <v>46327</v>
      </c>
      <c r="AM1" s="73" t="s">
        <v>2</v>
      </c>
      <c r="AN1" s="74">
        <v>46296</v>
      </c>
      <c r="AO1" s="13">
        <v>46357</v>
      </c>
      <c r="AP1" s="73" t="s">
        <v>2</v>
      </c>
      <c r="AQ1" s="74">
        <v>46327</v>
      </c>
      <c r="AR1" s="13">
        <v>46388</v>
      </c>
      <c r="AS1" s="73" t="s">
        <v>2</v>
      </c>
      <c r="AT1" s="74">
        <v>46357</v>
      </c>
      <c r="AU1" s="13">
        <v>46419</v>
      </c>
      <c r="AV1" s="73" t="s">
        <v>2</v>
      </c>
      <c r="AW1" s="74">
        <v>46388</v>
      </c>
      <c r="AX1" s="13">
        <v>46447</v>
      </c>
      <c r="AY1" s="73" t="s">
        <v>2</v>
      </c>
      <c r="AZ1" s="74">
        <v>46419</v>
      </c>
      <c r="BA1" s="13">
        <v>46478</v>
      </c>
      <c r="BB1" s="73" t="s">
        <v>2</v>
      </c>
      <c r="BC1" s="74">
        <v>46447</v>
      </c>
      <c r="BD1" s="13">
        <v>46508</v>
      </c>
      <c r="BE1" s="73" t="s">
        <v>2</v>
      </c>
      <c r="BF1" s="74">
        <v>46478</v>
      </c>
      <c r="BG1" s="13">
        <v>46539</v>
      </c>
      <c r="BH1" s="73" t="s">
        <v>2</v>
      </c>
      <c r="BI1" s="74">
        <v>46508</v>
      </c>
      <c r="BJ1" s="13">
        <v>46569</v>
      </c>
      <c r="BK1" s="73" t="s">
        <v>2</v>
      </c>
      <c r="BL1" s="74">
        <v>46539</v>
      </c>
      <c r="BM1" s="13">
        <v>46600</v>
      </c>
      <c r="BN1" s="73" t="s">
        <v>2</v>
      </c>
      <c r="BO1" s="74">
        <v>46569</v>
      </c>
      <c r="BP1" s="13">
        <v>46631</v>
      </c>
      <c r="BQ1" s="73" t="s">
        <v>2</v>
      </c>
      <c r="BR1" s="74">
        <v>46600</v>
      </c>
      <c r="BS1" s="13">
        <v>46661</v>
      </c>
      <c r="BT1" s="73" t="s">
        <v>2</v>
      </c>
      <c r="BU1" s="74">
        <v>46631</v>
      </c>
      <c r="BV1" s="13">
        <v>46692</v>
      </c>
      <c r="BW1" s="73" t="s">
        <v>2</v>
      </c>
      <c r="BX1" s="74">
        <v>46661</v>
      </c>
      <c r="BY1" s="13">
        <v>46722</v>
      </c>
      <c r="BZ1" s="73" t="s">
        <v>2</v>
      </c>
      <c r="CA1" s="74">
        <v>46692</v>
      </c>
    </row>
    <row r="2" spans="1:79" s="3" customFormat="1">
      <c r="A2" s="46" t="s">
        <v>3</v>
      </c>
      <c r="B2" s="47" t="s">
        <v>4</v>
      </c>
      <c r="C2" s="29"/>
      <c r="D2" s="27" t="s">
        <v>5</v>
      </c>
      <c r="E2" s="4" t="s">
        <v>5</v>
      </c>
      <c r="F2" s="4" t="s">
        <v>5</v>
      </c>
      <c r="G2" s="4" t="s">
        <v>6</v>
      </c>
      <c r="H2" s="4" t="s">
        <v>5</v>
      </c>
      <c r="I2" s="4" t="s">
        <v>5</v>
      </c>
      <c r="J2" s="4" t="s">
        <v>6</v>
      </c>
      <c r="K2" s="4" t="s">
        <v>5</v>
      </c>
      <c r="L2" s="4" t="s">
        <v>5</v>
      </c>
      <c r="M2" s="4" t="s">
        <v>6</v>
      </c>
      <c r="N2" s="4" t="s">
        <v>5</v>
      </c>
      <c r="O2" s="4" t="s">
        <v>5</v>
      </c>
      <c r="P2" s="4" t="s">
        <v>6</v>
      </c>
      <c r="Q2" s="4" t="s">
        <v>5</v>
      </c>
      <c r="R2" s="4" t="s">
        <v>5</v>
      </c>
      <c r="S2" s="4" t="s">
        <v>6</v>
      </c>
      <c r="T2" s="4" t="s">
        <v>5</v>
      </c>
      <c r="U2" s="4" t="s">
        <v>5</v>
      </c>
      <c r="V2" s="4" t="s">
        <v>6</v>
      </c>
      <c r="W2" s="4" t="s">
        <v>5</v>
      </c>
      <c r="X2" s="4" t="s">
        <v>5</v>
      </c>
      <c r="Y2" s="4" t="s">
        <v>6</v>
      </c>
      <c r="Z2" s="4" t="s">
        <v>5</v>
      </c>
      <c r="AA2" s="4" t="s">
        <v>5</v>
      </c>
      <c r="AB2" s="4" t="s">
        <v>6</v>
      </c>
      <c r="AC2" s="4" t="s">
        <v>5</v>
      </c>
      <c r="AD2" s="4" t="s">
        <v>5</v>
      </c>
      <c r="AE2" s="4" t="s">
        <v>6</v>
      </c>
      <c r="AF2" s="4" t="s">
        <v>5</v>
      </c>
      <c r="AG2" s="4" t="s">
        <v>5</v>
      </c>
      <c r="AH2" s="4" t="s">
        <v>6</v>
      </c>
      <c r="AI2" s="4" t="s">
        <v>5</v>
      </c>
      <c r="AJ2" s="4" t="s">
        <v>5</v>
      </c>
      <c r="AK2" s="4" t="s">
        <v>6</v>
      </c>
      <c r="AL2" s="4" t="s">
        <v>5</v>
      </c>
      <c r="AM2" s="4" t="s">
        <v>5</v>
      </c>
      <c r="AN2" s="4" t="s">
        <v>6</v>
      </c>
      <c r="AO2" s="4" t="s">
        <v>5</v>
      </c>
      <c r="AP2" s="4" t="s">
        <v>5</v>
      </c>
      <c r="AQ2" s="4" t="s">
        <v>6</v>
      </c>
      <c r="AR2" s="4" t="s">
        <v>5</v>
      </c>
      <c r="AS2" s="4" t="s">
        <v>5</v>
      </c>
      <c r="AT2" s="4" t="s">
        <v>6</v>
      </c>
      <c r="AU2" s="4" t="s">
        <v>5</v>
      </c>
      <c r="AV2" s="4" t="s">
        <v>5</v>
      </c>
      <c r="AW2" s="4" t="s">
        <v>6</v>
      </c>
      <c r="AX2" s="4" t="s">
        <v>5</v>
      </c>
      <c r="AY2" s="4" t="s">
        <v>5</v>
      </c>
      <c r="AZ2" s="4" t="s">
        <v>6</v>
      </c>
      <c r="BA2" s="4" t="s">
        <v>5</v>
      </c>
      <c r="BB2" s="4" t="s">
        <v>5</v>
      </c>
      <c r="BC2" s="4" t="s">
        <v>6</v>
      </c>
      <c r="BD2" s="4" t="s">
        <v>5</v>
      </c>
      <c r="BE2" s="4" t="s">
        <v>5</v>
      </c>
      <c r="BF2" s="4" t="s">
        <v>6</v>
      </c>
      <c r="BG2" s="4" t="s">
        <v>5</v>
      </c>
      <c r="BH2" s="4" t="s">
        <v>5</v>
      </c>
      <c r="BI2" s="4" t="s">
        <v>6</v>
      </c>
      <c r="BJ2" s="4" t="s">
        <v>5</v>
      </c>
      <c r="BK2" s="4" t="s">
        <v>5</v>
      </c>
      <c r="BL2" s="4" t="s">
        <v>6</v>
      </c>
      <c r="BM2" s="4" t="s">
        <v>5</v>
      </c>
      <c r="BN2" s="4" t="s">
        <v>5</v>
      </c>
      <c r="BO2" s="4" t="s">
        <v>6</v>
      </c>
      <c r="BP2" s="4" t="s">
        <v>5</v>
      </c>
      <c r="BQ2" s="4" t="s">
        <v>5</v>
      </c>
      <c r="BR2" s="4" t="s">
        <v>6</v>
      </c>
      <c r="BS2" s="4" t="s">
        <v>5</v>
      </c>
      <c r="BT2" s="4" t="s">
        <v>5</v>
      </c>
      <c r="BU2" s="4" t="s">
        <v>6</v>
      </c>
      <c r="BV2" s="4" t="s">
        <v>5</v>
      </c>
      <c r="BW2" s="4" t="s">
        <v>5</v>
      </c>
      <c r="BX2" s="4" t="s">
        <v>6</v>
      </c>
      <c r="BY2" s="4" t="s">
        <v>5</v>
      </c>
      <c r="BZ2" s="4" t="s">
        <v>5</v>
      </c>
      <c r="CA2" s="4" t="s">
        <v>6</v>
      </c>
    </row>
    <row r="3" spans="1:79" ht="15" customHeight="1">
      <c r="A3" s="46" t="s">
        <v>7</v>
      </c>
      <c r="B3" s="47">
        <v>487.44999999999987</v>
      </c>
      <c r="C3" s="30" t="s">
        <v>8</v>
      </c>
      <c r="D3" s="60">
        <v>115000</v>
      </c>
      <c r="E3" s="61">
        <v>120000</v>
      </c>
      <c r="F3" s="6">
        <v>222222</v>
      </c>
      <c r="G3" s="12">
        <v>10000</v>
      </c>
      <c r="H3" s="60">
        <v>222222</v>
      </c>
      <c r="I3" s="6">
        <f>H3-E3</f>
        <v>102222</v>
      </c>
      <c r="J3" s="12">
        <v>20000</v>
      </c>
      <c r="K3" s="60">
        <v>245112</v>
      </c>
      <c r="L3" s="6">
        <f>K3-H3</f>
        <v>22890</v>
      </c>
      <c r="M3" s="12">
        <v>210</v>
      </c>
      <c r="N3" s="61"/>
      <c r="O3" s="6">
        <f>N3-K3</f>
        <v>-245112</v>
      </c>
      <c r="P3" s="12"/>
      <c r="Q3" s="61"/>
      <c r="R3" s="6">
        <f>Q3-N3</f>
        <v>0</v>
      </c>
      <c r="S3" s="12"/>
      <c r="T3" s="61"/>
      <c r="U3" s="6">
        <f>T3-Q3</f>
        <v>0</v>
      </c>
      <c r="V3" s="12"/>
      <c r="W3" s="61"/>
      <c r="X3" s="6">
        <f>W3-T3</f>
        <v>0</v>
      </c>
      <c r="Y3" s="12"/>
      <c r="Z3" s="61"/>
      <c r="AA3" s="6">
        <f>Z3-W3</f>
        <v>0</v>
      </c>
      <c r="AB3" s="12"/>
      <c r="AC3" s="61"/>
      <c r="AD3" s="6">
        <f>AC3-Z3</f>
        <v>0</v>
      </c>
      <c r="AE3" s="12"/>
      <c r="AF3" s="61"/>
      <c r="AG3" s="6">
        <f>AF3-AC3</f>
        <v>0</v>
      </c>
      <c r="AH3" s="12"/>
      <c r="AI3" s="61"/>
      <c r="AJ3" s="6">
        <f>AI3-AF3</f>
        <v>0</v>
      </c>
      <c r="AK3" s="12"/>
      <c r="AL3" s="61"/>
      <c r="AM3" s="6">
        <f>AL3-AI3</f>
        <v>0</v>
      </c>
      <c r="AN3" s="12"/>
      <c r="AO3" s="61"/>
      <c r="AP3" s="6">
        <f>AO3-AL3</f>
        <v>0</v>
      </c>
      <c r="AQ3" s="12"/>
      <c r="AR3" s="61"/>
      <c r="AS3" s="6">
        <f>AR3-AO3</f>
        <v>0</v>
      </c>
      <c r="AT3" s="12"/>
      <c r="AU3" s="61"/>
      <c r="AV3" s="6">
        <f>AU3-AR3</f>
        <v>0</v>
      </c>
      <c r="AW3" s="12"/>
      <c r="AX3" s="61"/>
      <c r="AY3" s="6">
        <f>AX3-AU3</f>
        <v>0</v>
      </c>
      <c r="AZ3" s="12"/>
      <c r="BA3" s="61"/>
      <c r="BB3" s="6">
        <f>BA3-AX3</f>
        <v>0</v>
      </c>
      <c r="BC3" s="12"/>
      <c r="BD3" s="61"/>
      <c r="BE3" s="6">
        <f>BD3-BA3</f>
        <v>0</v>
      </c>
      <c r="BF3" s="12"/>
      <c r="BG3" s="61"/>
      <c r="BH3" s="6">
        <f>BG3-BD3</f>
        <v>0</v>
      </c>
      <c r="BI3" s="12"/>
      <c r="BJ3" s="61"/>
      <c r="BK3" s="6">
        <f>BJ3-BG3</f>
        <v>0</v>
      </c>
      <c r="BL3" s="12"/>
      <c r="BM3" s="61"/>
      <c r="BN3" s="6">
        <f>BM3-BJ3</f>
        <v>0</v>
      </c>
      <c r="BO3" s="12"/>
      <c r="BP3" s="61"/>
      <c r="BQ3" s="6">
        <f>BP3-BM3</f>
        <v>0</v>
      </c>
      <c r="BR3" s="12"/>
      <c r="BS3" s="61"/>
      <c r="BT3" s="6">
        <f>BS3-BP3</f>
        <v>0</v>
      </c>
      <c r="BU3" s="12"/>
      <c r="BV3" s="61"/>
      <c r="BW3" s="6">
        <f>BV3-BS3</f>
        <v>0</v>
      </c>
      <c r="BX3" s="12"/>
      <c r="BY3" s="61"/>
      <c r="BZ3" s="6">
        <f>BY3-BV3</f>
        <v>0</v>
      </c>
      <c r="CA3" s="12"/>
    </row>
    <row r="4" spans="1:79" ht="15" customHeight="1">
      <c r="A4" s="45" t="s">
        <v>9</v>
      </c>
      <c r="B4" s="59"/>
      <c r="C4" s="30" t="s">
        <v>10</v>
      </c>
      <c r="D4" s="62"/>
      <c r="E4" s="63"/>
      <c r="F4" s="73"/>
      <c r="G4" s="7">
        <f>G3/F3</f>
        <v>4.5000045000045001E-2</v>
      </c>
      <c r="H4" s="63"/>
      <c r="I4" s="73"/>
      <c r="J4" s="7">
        <f>J3/I3</f>
        <v>0.19565259924478096</v>
      </c>
      <c r="K4" s="63"/>
      <c r="L4" s="73"/>
      <c r="M4" s="7">
        <f>M3/L3</f>
        <v>9.1743119266055051E-3</v>
      </c>
      <c r="N4" s="63"/>
      <c r="O4" s="73"/>
      <c r="P4" s="7">
        <f>P3/O3</f>
        <v>0</v>
      </c>
      <c r="Q4" s="63"/>
      <c r="R4" s="73"/>
      <c r="S4" s="7" t="e">
        <f>S3/R3</f>
        <v>#DIV/0!</v>
      </c>
      <c r="T4" s="63"/>
      <c r="U4" s="73"/>
      <c r="V4" s="7" t="e">
        <f>V3/U3</f>
        <v>#DIV/0!</v>
      </c>
      <c r="W4" s="63"/>
      <c r="X4" s="73"/>
      <c r="Y4" s="7" t="e">
        <f>Y3/X3</f>
        <v>#DIV/0!</v>
      </c>
      <c r="Z4" s="63"/>
      <c r="AA4" s="73"/>
      <c r="AB4" s="7" t="e">
        <f>AB3/AA3</f>
        <v>#DIV/0!</v>
      </c>
      <c r="AC4" s="63"/>
      <c r="AD4" s="73"/>
      <c r="AE4" s="7" t="e">
        <f>AE3/AD3</f>
        <v>#DIV/0!</v>
      </c>
      <c r="AF4" s="63"/>
      <c r="AG4" s="73"/>
      <c r="AH4" s="7" t="e">
        <f>AH3/AG3</f>
        <v>#DIV/0!</v>
      </c>
      <c r="AI4" s="63"/>
      <c r="AJ4" s="73"/>
      <c r="AK4" s="7" t="e">
        <f>AK3/AJ3</f>
        <v>#DIV/0!</v>
      </c>
      <c r="AL4" s="63"/>
      <c r="AM4" s="73"/>
      <c r="AN4" s="7" t="e">
        <f>AN3/AM3</f>
        <v>#DIV/0!</v>
      </c>
      <c r="AO4" s="63"/>
      <c r="AP4" s="73"/>
      <c r="AQ4" s="7" t="e">
        <f>AQ3/AP3</f>
        <v>#DIV/0!</v>
      </c>
      <c r="AR4" s="63"/>
      <c r="AS4" s="73"/>
      <c r="AT4" s="7" t="e">
        <f>AT3/AS3</f>
        <v>#DIV/0!</v>
      </c>
      <c r="AU4" s="63"/>
      <c r="AV4" s="73"/>
      <c r="AW4" s="7" t="e">
        <f>AW3/AV3</f>
        <v>#DIV/0!</v>
      </c>
      <c r="AX4" s="63"/>
      <c r="AY4" s="73"/>
      <c r="AZ4" s="7" t="e">
        <f>AZ3/AY3</f>
        <v>#DIV/0!</v>
      </c>
      <c r="BA4" s="63"/>
      <c r="BB4" s="73"/>
      <c r="BC4" s="7" t="e">
        <f>BC3/BB3</f>
        <v>#DIV/0!</v>
      </c>
      <c r="BD4" s="63"/>
      <c r="BE4" s="73"/>
      <c r="BF4" s="7" t="e">
        <f>BF3/BE3</f>
        <v>#DIV/0!</v>
      </c>
      <c r="BG4" s="63"/>
      <c r="BH4" s="73"/>
      <c r="BI4" s="7" t="e">
        <f>BI3/BH3</f>
        <v>#DIV/0!</v>
      </c>
      <c r="BJ4" s="63"/>
      <c r="BK4" s="73"/>
      <c r="BL4" s="7" t="e">
        <f>BL3/BK3</f>
        <v>#DIV/0!</v>
      </c>
      <c r="BM4" s="63"/>
      <c r="BN4" s="73"/>
      <c r="BO4" s="7" t="e">
        <f>BO3/BN3</f>
        <v>#DIV/0!</v>
      </c>
      <c r="BP4" s="63"/>
      <c r="BQ4" s="73"/>
      <c r="BR4" s="7" t="e">
        <f>BR3/BQ3</f>
        <v>#DIV/0!</v>
      </c>
      <c r="BS4" s="63"/>
      <c r="BT4" s="73"/>
      <c r="BU4" s="7" t="e">
        <f>BU3/BT3</f>
        <v>#DIV/0!</v>
      </c>
      <c r="BV4" s="63"/>
      <c r="BW4" s="73"/>
      <c r="BX4" s="7" t="e">
        <f>BX3/BW3</f>
        <v>#DIV/0!</v>
      </c>
      <c r="BY4" s="63"/>
      <c r="BZ4" s="73"/>
      <c r="CA4" s="7" t="e">
        <f>CA3/BZ3</f>
        <v>#DIV/0!</v>
      </c>
    </row>
    <row r="5" spans="1:79" ht="15" customHeight="1">
      <c r="A5" s="59" t="s">
        <v>11</v>
      </c>
      <c r="B5" s="59">
        <v>7</v>
      </c>
      <c r="C5" s="82" t="s">
        <v>12</v>
      </c>
      <c r="D5" s="60">
        <v>115000</v>
      </c>
      <c r="E5" s="61">
        <v>120000</v>
      </c>
      <c r="F5" s="6">
        <v>222222</v>
      </c>
      <c r="G5" s="6">
        <v>15000</v>
      </c>
      <c r="H5" s="60">
        <v>222222</v>
      </c>
      <c r="I5" s="6">
        <f>H5-E5</f>
        <v>102222</v>
      </c>
      <c r="J5" s="6">
        <v>15000</v>
      </c>
      <c r="K5" s="60">
        <v>32512</v>
      </c>
      <c r="L5" s="6">
        <f>K5-H5</f>
        <v>-189710</v>
      </c>
      <c r="M5" s="6">
        <v>2100</v>
      </c>
      <c r="N5" s="61"/>
      <c r="O5" s="6">
        <f>N5-K5</f>
        <v>-32512</v>
      </c>
      <c r="P5" s="6"/>
      <c r="Q5" s="61"/>
      <c r="R5" s="6">
        <f>Q5-N5</f>
        <v>0</v>
      </c>
      <c r="S5" s="6"/>
      <c r="T5" s="61"/>
      <c r="U5" s="6">
        <f>T5-Q5</f>
        <v>0</v>
      </c>
      <c r="V5" s="6"/>
      <c r="W5" s="61"/>
      <c r="X5" s="6">
        <f>W5-T5</f>
        <v>0</v>
      </c>
      <c r="Y5" s="6"/>
      <c r="Z5" s="61"/>
      <c r="AA5" s="6">
        <f>Z5-W5</f>
        <v>0</v>
      </c>
      <c r="AB5" s="6"/>
      <c r="AC5" s="61"/>
      <c r="AD5" s="6">
        <f>AC5-Z5</f>
        <v>0</v>
      </c>
      <c r="AE5" s="6"/>
      <c r="AF5" s="61"/>
      <c r="AG5" s="6">
        <f>AF5-AC5</f>
        <v>0</v>
      </c>
      <c r="AH5" s="6"/>
      <c r="AI5" s="61"/>
      <c r="AJ5" s="6">
        <f>AI5-AF5</f>
        <v>0</v>
      </c>
      <c r="AK5" s="6"/>
      <c r="AL5" s="61"/>
      <c r="AM5" s="6">
        <f>AL5-AI5</f>
        <v>0</v>
      </c>
      <c r="AN5" s="6"/>
      <c r="AO5" s="61"/>
      <c r="AP5" s="6">
        <f>AO5-AL5</f>
        <v>0</v>
      </c>
      <c r="AQ5" s="6"/>
      <c r="AR5" s="61"/>
      <c r="AS5" s="6">
        <f>AR5-AO5</f>
        <v>0</v>
      </c>
      <c r="AT5" s="6"/>
      <c r="AU5" s="61"/>
      <c r="AV5" s="6">
        <f>AU5-AR5</f>
        <v>0</v>
      </c>
      <c r="AW5" s="6"/>
      <c r="AX5" s="61"/>
      <c r="AY5" s="6">
        <f>AX5-AU5</f>
        <v>0</v>
      </c>
      <c r="AZ5" s="6"/>
      <c r="BA5" s="61"/>
      <c r="BB5" s="6">
        <f>BA5-AX5</f>
        <v>0</v>
      </c>
      <c r="BC5" s="6"/>
      <c r="BD5" s="61"/>
      <c r="BE5" s="6">
        <f>BD5-BA5</f>
        <v>0</v>
      </c>
      <c r="BF5" s="6"/>
      <c r="BG5" s="61"/>
      <c r="BH5" s="6">
        <f>BG5-BD5</f>
        <v>0</v>
      </c>
      <c r="BI5" s="6"/>
      <c r="BJ5" s="61"/>
      <c r="BK5" s="6">
        <f>BJ5-BG5</f>
        <v>0</v>
      </c>
      <c r="BL5" s="6"/>
      <c r="BM5" s="61"/>
      <c r="BN5" s="6">
        <f>BM5-BJ5</f>
        <v>0</v>
      </c>
      <c r="BO5" s="6"/>
      <c r="BP5" s="61"/>
      <c r="BQ5" s="6">
        <f>BP5-BM5</f>
        <v>0</v>
      </c>
      <c r="BR5" s="6"/>
      <c r="BS5" s="61"/>
      <c r="BT5" s="6">
        <f>BS5-BP5</f>
        <v>0</v>
      </c>
      <c r="BU5" s="6"/>
      <c r="BV5" s="61"/>
      <c r="BW5" s="6">
        <f>BV5-BS5</f>
        <v>0</v>
      </c>
      <c r="BX5" s="6"/>
      <c r="BY5" s="61"/>
      <c r="BZ5" s="6">
        <f>BY5-BV5</f>
        <v>0</v>
      </c>
      <c r="CA5" s="6"/>
    </row>
    <row r="6" spans="1:79" ht="15" customHeight="1">
      <c r="C6" s="30" t="s">
        <v>13</v>
      </c>
      <c r="D6" s="28"/>
      <c r="E6" s="2"/>
      <c r="F6" s="73"/>
      <c r="G6" s="8">
        <f>G5/F5</f>
        <v>6.7500067500067498E-2</v>
      </c>
      <c r="H6" s="2"/>
      <c r="I6" s="73"/>
      <c r="J6" s="8">
        <f>J5/I5</f>
        <v>0.14673944943358572</v>
      </c>
      <c r="K6" s="2"/>
      <c r="L6" s="73"/>
      <c r="M6" s="8">
        <f>M5/L5</f>
        <v>-1.1069527173053609E-2</v>
      </c>
      <c r="N6" s="2"/>
      <c r="O6" s="73"/>
      <c r="P6" s="8">
        <f>P5/O5</f>
        <v>0</v>
      </c>
      <c r="Q6" s="2"/>
      <c r="R6" s="73"/>
      <c r="S6" s="8" t="e">
        <f>S5/R5</f>
        <v>#DIV/0!</v>
      </c>
      <c r="T6" s="2"/>
      <c r="U6" s="73"/>
      <c r="V6" s="8" t="e">
        <f>V5/U5</f>
        <v>#DIV/0!</v>
      </c>
      <c r="W6" s="2"/>
      <c r="X6" s="73"/>
      <c r="Y6" s="8" t="e">
        <f>Y5/X5</f>
        <v>#DIV/0!</v>
      </c>
      <c r="Z6" s="2"/>
      <c r="AA6" s="73"/>
      <c r="AB6" s="8" t="e">
        <f>AB5/AA5</f>
        <v>#DIV/0!</v>
      </c>
      <c r="AC6" s="2"/>
      <c r="AD6" s="73"/>
      <c r="AE6" s="8" t="e">
        <f>AE5/AD5</f>
        <v>#DIV/0!</v>
      </c>
      <c r="AF6" s="2"/>
      <c r="AG6" s="73"/>
      <c r="AH6" s="8" t="e">
        <f>AH5/AG5</f>
        <v>#DIV/0!</v>
      </c>
      <c r="AI6" s="2"/>
      <c r="AJ6" s="73"/>
      <c r="AK6" s="8" t="e">
        <f>AK5/AJ5</f>
        <v>#DIV/0!</v>
      </c>
      <c r="AL6" s="2"/>
      <c r="AM6" s="73"/>
      <c r="AN6" s="8" t="e">
        <f>AN5/AM5</f>
        <v>#DIV/0!</v>
      </c>
      <c r="AO6" s="2"/>
      <c r="AP6" s="73"/>
      <c r="AQ6" s="8" t="e">
        <f>AQ5/AP5</f>
        <v>#DIV/0!</v>
      </c>
      <c r="AR6" s="2"/>
      <c r="AS6" s="73"/>
      <c r="AT6" s="8" t="e">
        <f>AT5/AS5</f>
        <v>#DIV/0!</v>
      </c>
      <c r="AU6" s="2"/>
      <c r="AV6" s="73"/>
      <c r="AW6" s="8" t="e">
        <f>AW5/AV5</f>
        <v>#DIV/0!</v>
      </c>
      <c r="AX6" s="2"/>
      <c r="AY6" s="73"/>
      <c r="AZ6" s="8" t="e">
        <f>AZ5/AY5</f>
        <v>#DIV/0!</v>
      </c>
      <c r="BA6" s="2"/>
      <c r="BB6" s="73"/>
      <c r="BC6" s="8" t="e">
        <f>BC5/BB5</f>
        <v>#DIV/0!</v>
      </c>
      <c r="BD6" s="2"/>
      <c r="BE6" s="73"/>
      <c r="BF6" s="8" t="e">
        <f>BF5/BE5</f>
        <v>#DIV/0!</v>
      </c>
      <c r="BG6" s="2"/>
      <c r="BH6" s="73"/>
      <c r="BI6" s="8" t="e">
        <f>BI5/BH5</f>
        <v>#DIV/0!</v>
      </c>
      <c r="BJ6" s="2"/>
      <c r="BK6" s="73"/>
      <c r="BL6" s="8" t="e">
        <f>BL5/BK5</f>
        <v>#DIV/0!</v>
      </c>
      <c r="BM6" s="2"/>
      <c r="BN6" s="73"/>
      <c r="BO6" s="8" t="e">
        <f>BO5/BN5</f>
        <v>#DIV/0!</v>
      </c>
      <c r="BP6" s="2"/>
      <c r="BQ6" s="73"/>
      <c r="BR6" s="8" t="e">
        <f>BR5/BQ5</f>
        <v>#DIV/0!</v>
      </c>
      <c r="BS6" s="2"/>
      <c r="BT6" s="73"/>
      <c r="BU6" s="8" t="e">
        <f>BU5/BT5</f>
        <v>#DIV/0!</v>
      </c>
      <c r="BV6" s="2"/>
      <c r="BW6" s="73"/>
      <c r="BX6" s="8" t="e">
        <f>BX5/BW5</f>
        <v>#DIV/0!</v>
      </c>
      <c r="BY6" s="2"/>
      <c r="BZ6" s="73"/>
      <c r="CA6" s="8" t="e">
        <f>CA5/BZ5</f>
        <v>#DIV/0!</v>
      </c>
    </row>
    <row r="7" spans="1:79" ht="15" customHeight="1">
      <c r="C7" s="30" t="s">
        <v>14</v>
      </c>
      <c r="D7" s="60">
        <v>115000</v>
      </c>
      <c r="E7" s="61">
        <v>120000</v>
      </c>
      <c r="F7" s="6">
        <v>222222</v>
      </c>
      <c r="G7" s="6">
        <v>20000</v>
      </c>
      <c r="H7" s="60">
        <v>222222</v>
      </c>
      <c r="I7" s="6">
        <f>H7-E7</f>
        <v>102222</v>
      </c>
      <c r="J7" s="6">
        <v>20000</v>
      </c>
      <c r="K7" s="60">
        <v>17912</v>
      </c>
      <c r="L7" s="6">
        <f>K7-H7</f>
        <v>-204310</v>
      </c>
      <c r="M7" s="6">
        <v>10500</v>
      </c>
      <c r="N7" s="61"/>
      <c r="O7" s="6">
        <f>N7-K7</f>
        <v>-17912</v>
      </c>
      <c r="P7" s="6"/>
      <c r="Q7" s="61"/>
      <c r="R7" s="6">
        <f>Q7-N7</f>
        <v>0</v>
      </c>
      <c r="S7" s="6"/>
      <c r="T7" s="61"/>
      <c r="U7" s="6">
        <f>T7-Q7</f>
        <v>0</v>
      </c>
      <c r="V7" s="6"/>
      <c r="W7" s="61"/>
      <c r="X7" s="6">
        <f>W7-T7</f>
        <v>0</v>
      </c>
      <c r="Y7" s="6"/>
      <c r="Z7" s="61"/>
      <c r="AA7" s="6">
        <f>Z7-W7</f>
        <v>0</v>
      </c>
      <c r="AB7" s="6"/>
      <c r="AC7" s="61"/>
      <c r="AD7" s="6">
        <f>AC7-Z7</f>
        <v>0</v>
      </c>
      <c r="AE7" s="6"/>
      <c r="AF7" s="61"/>
      <c r="AG7" s="6">
        <f>AF7-AC7</f>
        <v>0</v>
      </c>
      <c r="AH7" s="6"/>
      <c r="AI7" s="61"/>
      <c r="AJ7" s="6">
        <f>AI7-AF7</f>
        <v>0</v>
      </c>
      <c r="AK7" s="6"/>
      <c r="AL7" s="61"/>
      <c r="AM7" s="6">
        <f>AL7-AI7</f>
        <v>0</v>
      </c>
      <c r="AN7" s="6"/>
      <c r="AO7" s="61"/>
      <c r="AP7" s="6">
        <f>AO7-AL7</f>
        <v>0</v>
      </c>
      <c r="AQ7" s="6"/>
      <c r="AR7" s="61"/>
      <c r="AS7" s="6">
        <f>AR7-AO7</f>
        <v>0</v>
      </c>
      <c r="AT7" s="6"/>
      <c r="AU7" s="61"/>
      <c r="AV7" s="6">
        <f>AU7-AR7</f>
        <v>0</v>
      </c>
      <c r="AW7" s="6"/>
      <c r="AX7" s="61"/>
      <c r="AY7" s="6">
        <f>AX7-AU7</f>
        <v>0</v>
      </c>
      <c r="AZ7" s="6"/>
      <c r="BA7" s="61"/>
      <c r="BB7" s="6">
        <f>BA7-AX7</f>
        <v>0</v>
      </c>
      <c r="BC7" s="6"/>
      <c r="BD7" s="61"/>
      <c r="BE7" s="6">
        <f>BD7-BA7</f>
        <v>0</v>
      </c>
      <c r="BF7" s="6"/>
      <c r="BG7" s="61"/>
      <c r="BH7" s="6">
        <f>BG7-BD7</f>
        <v>0</v>
      </c>
      <c r="BI7" s="6"/>
      <c r="BJ7" s="61"/>
      <c r="BK7" s="6">
        <f>BJ7-BG7</f>
        <v>0</v>
      </c>
      <c r="BL7" s="6"/>
      <c r="BM7" s="61"/>
      <c r="BN7" s="6">
        <f>BM7-BJ7</f>
        <v>0</v>
      </c>
      <c r="BO7" s="6"/>
      <c r="BP7" s="61"/>
      <c r="BQ7" s="6">
        <f>BP7-BM7</f>
        <v>0</v>
      </c>
      <c r="BR7" s="6"/>
      <c r="BS7" s="61"/>
      <c r="BT7" s="6">
        <f>BS7-BP7</f>
        <v>0</v>
      </c>
      <c r="BU7" s="6"/>
      <c r="BV7" s="61"/>
      <c r="BW7" s="6">
        <f>BV7-BS7</f>
        <v>0</v>
      </c>
      <c r="BX7" s="6"/>
      <c r="BY7" s="61"/>
      <c r="BZ7" s="6">
        <f>BY7-BV7</f>
        <v>0</v>
      </c>
      <c r="CA7" s="6"/>
    </row>
    <row r="8" spans="1:79" ht="15" customHeight="1">
      <c r="C8" s="30" t="s">
        <v>15</v>
      </c>
      <c r="D8" s="28"/>
      <c r="E8" s="2"/>
      <c r="F8" s="73"/>
      <c r="G8" s="8">
        <f>G7/F7</f>
        <v>9.0000090000090002E-2</v>
      </c>
      <c r="H8" s="2"/>
      <c r="I8" s="73"/>
      <c r="J8" s="8">
        <f>J7/I7</f>
        <v>0.19565259924478096</v>
      </c>
      <c r="K8" s="2"/>
      <c r="L8" s="73"/>
      <c r="M8" s="8">
        <f>M7/L7</f>
        <v>-5.1392491801673927E-2</v>
      </c>
      <c r="N8" s="2"/>
      <c r="O8" s="73"/>
      <c r="P8" s="8">
        <f>P7/O7</f>
        <v>0</v>
      </c>
      <c r="Q8" s="2"/>
      <c r="R8" s="73"/>
      <c r="S8" s="8" t="e">
        <f>S7/R7</f>
        <v>#DIV/0!</v>
      </c>
      <c r="T8" s="2"/>
      <c r="U8" s="73"/>
      <c r="V8" s="8" t="e">
        <f>V7/U7</f>
        <v>#DIV/0!</v>
      </c>
      <c r="W8" s="2"/>
      <c r="X8" s="73"/>
      <c r="Y8" s="8" t="e">
        <f>Y7/X7</f>
        <v>#DIV/0!</v>
      </c>
      <c r="Z8" s="2"/>
      <c r="AA8" s="73"/>
      <c r="AB8" s="8" t="e">
        <f>AB7/AA7</f>
        <v>#DIV/0!</v>
      </c>
      <c r="AC8" s="2"/>
      <c r="AD8" s="73"/>
      <c r="AE8" s="8" t="e">
        <f>AE7/AD7</f>
        <v>#DIV/0!</v>
      </c>
      <c r="AF8" s="2"/>
      <c r="AG8" s="73"/>
      <c r="AH8" s="8" t="e">
        <f>AH7/AG7</f>
        <v>#DIV/0!</v>
      </c>
      <c r="AI8" s="2"/>
      <c r="AJ8" s="73"/>
      <c r="AK8" s="8" t="e">
        <f>AK7/AJ7</f>
        <v>#DIV/0!</v>
      </c>
      <c r="AL8" s="2"/>
      <c r="AM8" s="73"/>
      <c r="AN8" s="8" t="e">
        <f>AN7/AM7</f>
        <v>#DIV/0!</v>
      </c>
      <c r="AO8" s="2"/>
      <c r="AP8" s="73"/>
      <c r="AQ8" s="8" t="e">
        <f>AQ7/AP7</f>
        <v>#DIV/0!</v>
      </c>
      <c r="AR8" s="2"/>
      <c r="AS8" s="73"/>
      <c r="AT8" s="8" t="e">
        <f>AT7/AS7</f>
        <v>#DIV/0!</v>
      </c>
      <c r="AU8" s="2"/>
      <c r="AV8" s="73"/>
      <c r="AW8" s="8" t="e">
        <f>AW7/AV7</f>
        <v>#DIV/0!</v>
      </c>
      <c r="AX8" s="2"/>
      <c r="AY8" s="73"/>
      <c r="AZ8" s="8" t="e">
        <f>AZ7/AY7</f>
        <v>#DIV/0!</v>
      </c>
      <c r="BA8" s="2"/>
      <c r="BB8" s="73"/>
      <c r="BC8" s="8" t="e">
        <f>BC7/BB7</f>
        <v>#DIV/0!</v>
      </c>
      <c r="BD8" s="2"/>
      <c r="BE8" s="73"/>
      <c r="BF8" s="8" t="e">
        <f>BF7/BE7</f>
        <v>#DIV/0!</v>
      </c>
      <c r="BG8" s="2"/>
      <c r="BH8" s="73"/>
      <c r="BI8" s="8" t="e">
        <f>BI7/BH7</f>
        <v>#DIV/0!</v>
      </c>
      <c r="BJ8" s="2"/>
      <c r="BK8" s="73"/>
      <c r="BL8" s="8" t="e">
        <f>BL7/BK7</f>
        <v>#DIV/0!</v>
      </c>
      <c r="BM8" s="2"/>
      <c r="BN8" s="73"/>
      <c r="BO8" s="8" t="e">
        <f>BO7/BN7</f>
        <v>#DIV/0!</v>
      </c>
      <c r="BP8" s="2"/>
      <c r="BQ8" s="73"/>
      <c r="BR8" s="8" t="e">
        <f>BR7/BQ7</f>
        <v>#DIV/0!</v>
      </c>
      <c r="BS8" s="2"/>
      <c r="BT8" s="73"/>
      <c r="BU8" s="8" t="e">
        <f>BU7/BT7</f>
        <v>#DIV/0!</v>
      </c>
      <c r="BV8" s="2"/>
      <c r="BW8" s="73"/>
      <c r="BX8" s="8" t="e">
        <f>BX7/BW7</f>
        <v>#DIV/0!</v>
      </c>
      <c r="BY8" s="2"/>
      <c r="BZ8" s="73"/>
      <c r="CA8" s="8" t="e">
        <f>CA7/BZ7</f>
        <v>#DIV/0!</v>
      </c>
    </row>
    <row r="9" spans="1:79" ht="15" customHeight="1">
      <c r="C9" s="30" t="s">
        <v>16</v>
      </c>
      <c r="D9" s="28"/>
      <c r="E9" s="2"/>
      <c r="F9" s="6">
        <v>222222</v>
      </c>
      <c r="G9" s="6">
        <v>12000</v>
      </c>
      <c r="H9" s="2">
        <v>222222</v>
      </c>
      <c r="I9" s="6">
        <v>1000</v>
      </c>
      <c r="J9" s="6">
        <v>12000</v>
      </c>
      <c r="K9" s="2">
        <v>2000</v>
      </c>
      <c r="L9" s="6"/>
      <c r="M9" s="6">
        <v>10000</v>
      </c>
      <c r="N9" s="2"/>
      <c r="O9" s="6"/>
      <c r="P9" s="6"/>
      <c r="Q9" s="2"/>
      <c r="R9" s="6"/>
      <c r="S9" s="6"/>
      <c r="T9" s="2"/>
      <c r="U9" s="6"/>
      <c r="V9" s="6"/>
      <c r="W9" s="2"/>
      <c r="X9" s="6"/>
      <c r="Y9" s="6"/>
      <c r="Z9" s="2"/>
      <c r="AA9" s="6"/>
      <c r="AB9" s="6"/>
      <c r="AC9" s="2"/>
      <c r="AD9" s="6"/>
      <c r="AE9" s="6"/>
      <c r="AF9" s="2"/>
      <c r="AG9" s="6"/>
      <c r="AH9" s="6"/>
      <c r="AI9" s="2"/>
      <c r="AJ9" s="6"/>
      <c r="AK9" s="6"/>
      <c r="AL9" s="2"/>
      <c r="AM9" s="6"/>
      <c r="AN9" s="6"/>
      <c r="AO9" s="2"/>
      <c r="AP9" s="6"/>
      <c r="AQ9" s="6"/>
      <c r="AR9" s="2"/>
      <c r="AS9" s="6"/>
      <c r="AT9" s="6"/>
      <c r="AU9" s="2"/>
      <c r="AV9" s="6"/>
      <c r="AW9" s="6"/>
      <c r="AX9" s="2"/>
      <c r="AY9" s="6"/>
      <c r="AZ9" s="6"/>
      <c r="BA9" s="2"/>
      <c r="BB9" s="6"/>
      <c r="BC9" s="6"/>
      <c r="BD9" s="2"/>
      <c r="BE9" s="6"/>
      <c r="BF9" s="6"/>
      <c r="BG9" s="2"/>
      <c r="BH9" s="6"/>
      <c r="BI9" s="6"/>
      <c r="BJ9" s="2"/>
      <c r="BK9" s="6"/>
      <c r="BL9" s="6"/>
      <c r="BM9" s="2"/>
      <c r="BN9" s="6"/>
      <c r="BO9" s="6"/>
      <c r="BP9" s="2"/>
      <c r="BQ9" s="6"/>
      <c r="BR9" s="6"/>
      <c r="BS9" s="2"/>
      <c r="BT9" s="6"/>
      <c r="BU9" s="6"/>
      <c r="BV9" s="2"/>
      <c r="BW9" s="6"/>
      <c r="BX9" s="6"/>
      <c r="BY9" s="2"/>
      <c r="BZ9" s="6"/>
      <c r="CA9" s="6"/>
    </row>
    <row r="10" spans="1:79" ht="15" customHeight="1">
      <c r="C10" s="30" t="s">
        <v>17</v>
      </c>
      <c r="D10" s="28"/>
      <c r="E10" s="2"/>
      <c r="F10" s="73"/>
      <c r="G10" s="8">
        <f>G9/$B3</f>
        <v>24.617909529182487</v>
      </c>
      <c r="H10" s="2"/>
      <c r="I10" s="73"/>
      <c r="J10" s="8">
        <f>J9/$B3</f>
        <v>24.617909529182487</v>
      </c>
      <c r="K10" s="2"/>
      <c r="L10" s="73"/>
      <c r="M10" s="8">
        <f>M9/$B3</f>
        <v>20.514924607652073</v>
      </c>
      <c r="N10" s="2"/>
      <c r="O10" s="73"/>
      <c r="P10" s="8">
        <f>P9/$B3</f>
        <v>0</v>
      </c>
      <c r="Q10" s="2"/>
      <c r="R10" s="73"/>
      <c r="S10" s="8">
        <f>S9/$B3</f>
        <v>0</v>
      </c>
      <c r="T10" s="2"/>
      <c r="U10" s="73"/>
      <c r="V10" s="8">
        <f>V9/$B3</f>
        <v>0</v>
      </c>
      <c r="W10" s="2"/>
      <c r="X10" s="73"/>
      <c r="Y10" s="8">
        <f>Y9/$B3</f>
        <v>0</v>
      </c>
      <c r="Z10" s="2"/>
      <c r="AA10" s="73"/>
      <c r="AB10" s="8">
        <f>AB9/$B3</f>
        <v>0</v>
      </c>
      <c r="AC10" s="2"/>
      <c r="AD10" s="73"/>
      <c r="AE10" s="8">
        <f>AE9/$B3</f>
        <v>0</v>
      </c>
      <c r="AF10" s="2"/>
      <c r="AG10" s="73"/>
      <c r="AH10" s="8">
        <f>AH9/$B3</f>
        <v>0</v>
      </c>
      <c r="AI10" s="2"/>
      <c r="AJ10" s="73"/>
      <c r="AK10" s="8">
        <f>AK9/$B3</f>
        <v>0</v>
      </c>
      <c r="AL10" s="2"/>
      <c r="AM10" s="73"/>
      <c r="AN10" s="8">
        <f>AN9/$B3</f>
        <v>0</v>
      </c>
      <c r="AO10" s="2"/>
      <c r="AP10" s="73"/>
      <c r="AQ10" s="8">
        <f>AQ9/$B3</f>
        <v>0</v>
      </c>
      <c r="AR10" s="2"/>
      <c r="AS10" s="73"/>
      <c r="AT10" s="8">
        <f>AT9/$B3</f>
        <v>0</v>
      </c>
      <c r="AU10" s="2"/>
      <c r="AV10" s="73"/>
      <c r="AW10" s="8">
        <f>AW9/$B3</f>
        <v>0</v>
      </c>
      <c r="AX10" s="2"/>
      <c r="AY10" s="73"/>
      <c r="AZ10" s="8">
        <f>AZ9/$B3</f>
        <v>0</v>
      </c>
      <c r="BA10" s="2"/>
      <c r="BB10" s="73"/>
      <c r="BC10" s="8">
        <f>BC9/$B3</f>
        <v>0</v>
      </c>
      <c r="BD10" s="2"/>
      <c r="BE10" s="73"/>
      <c r="BF10" s="8">
        <f>BF9/$B3</f>
        <v>0</v>
      </c>
      <c r="BG10" s="2"/>
      <c r="BH10" s="73"/>
      <c r="BI10" s="8">
        <f>BI9/$B3</f>
        <v>0</v>
      </c>
      <c r="BJ10" s="2"/>
      <c r="BK10" s="73"/>
      <c r="BL10" s="8">
        <f>BL9/$B3</f>
        <v>0</v>
      </c>
      <c r="BM10" s="2"/>
      <c r="BN10" s="73"/>
      <c r="BO10" s="8">
        <f>BO9/$B3</f>
        <v>0</v>
      </c>
      <c r="BP10" s="2"/>
      <c r="BQ10" s="73"/>
      <c r="BR10" s="8">
        <f>BR9/$B3</f>
        <v>0</v>
      </c>
      <c r="BS10" s="2"/>
      <c r="BT10" s="73"/>
      <c r="BU10" s="8">
        <f>BU9/$B3</f>
        <v>0</v>
      </c>
      <c r="BV10" s="2"/>
      <c r="BW10" s="73"/>
      <c r="BX10" s="8">
        <f>BX9/$B3</f>
        <v>0</v>
      </c>
      <c r="BY10" s="2"/>
      <c r="BZ10" s="73"/>
      <c r="CA10" s="8">
        <f>CA9/$B3</f>
        <v>0</v>
      </c>
    </row>
    <row r="11" spans="1:79">
      <c r="C11" s="31" t="s">
        <v>18</v>
      </c>
      <c r="D11" s="28"/>
      <c r="E11" s="2"/>
      <c r="F11" s="81"/>
      <c r="G11" s="6">
        <v>85000</v>
      </c>
      <c r="H11" s="2">
        <v>222222</v>
      </c>
      <c r="I11" s="6" t="e">
        <f>J11/(Реестр!A20)</f>
        <v>#DIV/0!</v>
      </c>
      <c r="J11" s="6">
        <v>85000</v>
      </c>
      <c r="K11" s="2"/>
      <c r="L11" s="6" t="e">
        <f>M11/(Реестр!$A20)</f>
        <v>#DIV/0!</v>
      </c>
      <c r="M11" s="6">
        <v>50000</v>
      </c>
      <c r="N11" s="2"/>
      <c r="O11" s="6" t="e">
        <f>P11/(Реестр!$A20)</f>
        <v>#DIV/0!</v>
      </c>
      <c r="P11" s="6"/>
      <c r="Q11" s="2"/>
      <c r="R11" s="6" t="e">
        <f>S11/(Реестр!$A20)</f>
        <v>#DIV/0!</v>
      </c>
      <c r="S11" s="6"/>
      <c r="T11" s="2"/>
      <c r="U11" s="6" t="e">
        <f>V11/(Реестр!$A20)</f>
        <v>#DIV/0!</v>
      </c>
      <c r="V11" s="6"/>
      <c r="W11" s="2"/>
      <c r="X11" s="6" t="e">
        <f>Y11/(Реестр!$A20)</f>
        <v>#DIV/0!</v>
      </c>
      <c r="Y11" s="6"/>
      <c r="Z11" s="2"/>
      <c r="AA11" s="6" t="e">
        <f>AB11/(Реестр!$A20)</f>
        <v>#DIV/0!</v>
      </c>
      <c r="AB11" s="6"/>
      <c r="AC11" s="2"/>
      <c r="AD11" s="6" t="e">
        <f>AE11/(Реестр!$A20)</f>
        <v>#DIV/0!</v>
      </c>
      <c r="AE11" s="6"/>
      <c r="AF11" s="2"/>
      <c r="AG11" s="6" t="e">
        <f>AH11/(Реестр!$A20)</f>
        <v>#DIV/0!</v>
      </c>
      <c r="AH11" s="6"/>
      <c r="AI11" s="2"/>
      <c r="AJ11" s="6"/>
      <c r="AK11" s="6"/>
      <c r="AL11" s="2"/>
      <c r="AM11" s="6"/>
      <c r="AN11" s="6"/>
      <c r="AO11" s="2"/>
      <c r="AP11" s="6"/>
      <c r="AQ11" s="6"/>
      <c r="AR11" s="2"/>
      <c r="AS11" s="6"/>
      <c r="AT11" s="6"/>
      <c r="AU11" s="2"/>
      <c r="AV11" s="6"/>
      <c r="AW11" s="6"/>
      <c r="AX11" s="2"/>
      <c r="AY11" s="6"/>
      <c r="AZ11" s="6"/>
      <c r="BA11" s="2"/>
      <c r="BB11" s="6"/>
      <c r="BC11" s="6"/>
      <c r="BD11" s="2"/>
      <c r="BE11" s="6"/>
      <c r="BF11" s="6"/>
      <c r="BG11" s="2"/>
      <c r="BH11" s="6"/>
      <c r="BI11" s="6"/>
      <c r="BJ11" s="2"/>
      <c r="BK11" s="6"/>
      <c r="BL11" s="6"/>
      <c r="BM11" s="2"/>
      <c r="BN11" s="6"/>
      <c r="BO11" s="6"/>
      <c r="BP11" s="2"/>
      <c r="BQ11" s="6"/>
      <c r="BR11" s="6"/>
      <c r="BS11" s="2"/>
      <c r="BT11" s="6"/>
      <c r="BU11" s="6"/>
      <c r="BV11" s="2"/>
      <c r="BW11" s="6"/>
      <c r="BX11" s="6"/>
      <c r="BY11" s="2"/>
      <c r="BZ11" s="6"/>
      <c r="CA11" s="6"/>
    </row>
    <row r="12" spans="1:79">
      <c r="C12" s="31" t="s">
        <v>19</v>
      </c>
      <c r="D12" s="28"/>
      <c r="E12" s="2"/>
      <c r="F12" s="73"/>
      <c r="G12" s="8">
        <f>G11/B5</f>
        <v>12142.857142857143</v>
      </c>
      <c r="H12" s="2"/>
      <c r="I12" s="73"/>
      <c r="J12" s="8">
        <f>J11/$B3</f>
        <v>174.37685916504262</v>
      </c>
      <c r="K12" s="2"/>
      <c r="L12" s="73"/>
      <c r="M12" s="8">
        <f>M11/$B3</f>
        <v>102.57462303826036</v>
      </c>
      <c r="N12" s="2"/>
      <c r="O12" s="73"/>
      <c r="P12" s="8">
        <f>P11/$B3</f>
        <v>0</v>
      </c>
      <c r="Q12" s="2"/>
      <c r="R12" s="73"/>
      <c r="S12" s="8">
        <f>S11/$B3</f>
        <v>0</v>
      </c>
      <c r="T12" s="2"/>
      <c r="U12" s="73"/>
      <c r="V12" s="8">
        <f>V11/$B3</f>
        <v>0</v>
      </c>
      <c r="W12" s="2"/>
      <c r="X12" s="73"/>
      <c r="Y12" s="8">
        <f>Y11/$B3</f>
        <v>0</v>
      </c>
      <c r="Z12" s="2"/>
      <c r="AA12" s="73"/>
      <c r="AB12" s="8">
        <f>AB11/$B3</f>
        <v>0</v>
      </c>
      <c r="AC12" s="2"/>
      <c r="AD12" s="73"/>
      <c r="AE12" s="8">
        <f>AE11/$B3</f>
        <v>0</v>
      </c>
      <c r="AF12" s="2"/>
      <c r="AG12" s="73"/>
      <c r="AH12" s="8">
        <f>AH11/$B3</f>
        <v>0</v>
      </c>
      <c r="AI12" s="2"/>
      <c r="AJ12" s="73"/>
      <c r="AK12" s="8">
        <f>AK11/$B3</f>
        <v>0</v>
      </c>
      <c r="AL12" s="2"/>
      <c r="AM12" s="73"/>
      <c r="AN12" s="8">
        <f>AN11/$B3</f>
        <v>0</v>
      </c>
      <c r="AO12" s="2"/>
      <c r="AP12" s="73"/>
      <c r="AQ12" s="8">
        <f>AQ11/$B3</f>
        <v>0</v>
      </c>
      <c r="AR12" s="2"/>
      <c r="AS12" s="73"/>
      <c r="AT12" s="8">
        <f>AT11/$B3</f>
        <v>0</v>
      </c>
      <c r="AU12" s="2"/>
      <c r="AV12" s="73"/>
      <c r="AW12" s="8">
        <f>AW11/$B3</f>
        <v>0</v>
      </c>
      <c r="AX12" s="2"/>
      <c r="AY12" s="73"/>
      <c r="AZ12" s="8">
        <f>AZ11/$B3</f>
        <v>0</v>
      </c>
      <c r="BA12" s="2"/>
      <c r="BB12" s="73"/>
      <c r="BC12" s="8">
        <f>BC11/$B3</f>
        <v>0</v>
      </c>
      <c r="BD12" s="2"/>
      <c r="BE12" s="73"/>
      <c r="BF12" s="8">
        <f>BF11/$B3</f>
        <v>0</v>
      </c>
      <c r="BG12" s="2"/>
      <c r="BH12" s="73"/>
      <c r="BI12" s="8">
        <f>BI11/$B3</f>
        <v>0</v>
      </c>
      <c r="BJ12" s="2"/>
      <c r="BK12" s="73"/>
      <c r="BL12" s="8">
        <f>BL11/$B3</f>
        <v>0</v>
      </c>
      <c r="BM12" s="2"/>
      <c r="BN12" s="73"/>
      <c r="BO12" s="8">
        <f>BO11/$B3</f>
        <v>0</v>
      </c>
      <c r="BP12" s="2"/>
      <c r="BQ12" s="73"/>
      <c r="BR12" s="8">
        <f>BR11/$B3</f>
        <v>0</v>
      </c>
      <c r="BS12" s="2"/>
      <c r="BT12" s="73"/>
      <c r="BU12" s="8">
        <f>BU11/$B3</f>
        <v>0</v>
      </c>
      <c r="BV12" s="2"/>
      <c r="BW12" s="73"/>
      <c r="BX12" s="8">
        <f>BX11/$B3</f>
        <v>0</v>
      </c>
      <c r="BY12" s="2"/>
      <c r="BZ12" s="73"/>
      <c r="CA12" s="8">
        <f>CA11/$B3</f>
        <v>0</v>
      </c>
    </row>
    <row r="14" spans="1:79">
      <c r="A14" s="9"/>
      <c r="B14" s="1" t="s">
        <v>20</v>
      </c>
    </row>
    <row r="15" spans="1:79">
      <c r="A15" s="10"/>
      <c r="B15" s="1" t="s">
        <v>21</v>
      </c>
    </row>
    <row r="16" spans="1:79">
      <c r="A16" s="11"/>
      <c r="B16" s="1" t="s">
        <v>22</v>
      </c>
      <c r="G16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6"/>
  <sheetViews>
    <sheetView zoomScale="13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J10" sqref="J10"/>
    </sheetView>
  </sheetViews>
  <sheetFormatPr defaultColWidth="10" defaultRowHeight="15"/>
  <cols>
    <col min="1" max="1" width="14" bestFit="1" customWidth="1"/>
    <col min="2" max="2" width="12.7109375" bestFit="1" customWidth="1"/>
    <col min="3" max="3" width="24.140625" style="1" bestFit="1" customWidth="1"/>
    <col min="4" max="4" width="7.42578125" bestFit="1" customWidth="1"/>
    <col min="5" max="5" width="9.42578125" customWidth="1"/>
    <col min="6" max="6" width="9.85546875" style="1" bestFit="1" customWidth="1"/>
    <col min="7" max="7" width="13" style="1" customWidth="1"/>
    <col min="8" max="8" width="6.42578125" bestFit="1" customWidth="1"/>
    <col min="9" max="9" width="9.85546875" style="1" bestFit="1" customWidth="1"/>
    <col min="10" max="10" width="10.140625" style="1" customWidth="1"/>
    <col min="11" max="11" width="7.85546875" bestFit="1" customWidth="1"/>
    <col min="12" max="12" width="9.85546875" style="1" bestFit="1" customWidth="1"/>
    <col min="13" max="13" width="18.42578125" style="1" customWidth="1"/>
    <col min="14" max="14" width="7.42578125" bestFit="1" customWidth="1"/>
    <col min="15" max="15" width="9.85546875" style="1" bestFit="1" customWidth="1"/>
    <col min="16" max="16" width="8.28515625" style="1" bestFit="1" customWidth="1"/>
    <col min="17" max="17" width="6.42578125" bestFit="1" customWidth="1"/>
    <col min="18" max="18" width="9.85546875" style="1" bestFit="1" customWidth="1"/>
    <col min="19" max="19" width="8.28515625" style="1" bestFit="1" customWidth="1"/>
    <col min="20" max="20" width="7" bestFit="1" customWidth="1"/>
    <col min="21" max="21" width="9.85546875" style="1" bestFit="1" customWidth="1"/>
    <col min="22" max="22" width="8.28515625" style="1" bestFit="1" customWidth="1"/>
    <col min="23" max="23" width="8" bestFit="1" customWidth="1"/>
    <col min="24" max="24" width="9.85546875" style="1" bestFit="1" customWidth="1"/>
    <col min="25" max="25" width="8.28515625" style="1" bestFit="1" customWidth="1"/>
    <col min="26" max="26" width="8" bestFit="1" customWidth="1"/>
    <col min="27" max="27" width="9.85546875" style="1" bestFit="1" customWidth="1"/>
    <col min="28" max="28" width="8.28515625" style="1" bestFit="1" customWidth="1"/>
    <col min="29" max="29" width="6.140625" bestFit="1" customWidth="1"/>
    <col min="30" max="30" width="9.85546875" style="1" bestFit="1" customWidth="1"/>
    <col min="31" max="31" width="8.28515625" style="1" bestFit="1" customWidth="1"/>
    <col min="32" max="32" width="7.140625" bestFit="1" customWidth="1"/>
    <col min="33" max="33" width="9.85546875" style="1" bestFit="1" customWidth="1"/>
    <col min="34" max="34" width="8.28515625" style="1" bestFit="1" customWidth="1"/>
    <col min="35" max="35" width="6.28515625" bestFit="1" customWidth="1"/>
    <col min="36" max="36" width="9.85546875" style="1" bestFit="1" customWidth="1"/>
    <col min="37" max="37" width="8.28515625" style="1" bestFit="1" customWidth="1"/>
    <col min="38" max="38" width="7.42578125" bestFit="1" customWidth="1"/>
    <col min="39" max="39" width="9.85546875" style="1" bestFit="1" customWidth="1"/>
    <col min="40" max="40" width="8.28515625" style="1" bestFit="1" customWidth="1"/>
    <col min="41" max="41" width="6.42578125" bestFit="1" customWidth="1"/>
    <col min="42" max="42" width="9.85546875" style="1" bestFit="1" customWidth="1"/>
    <col min="43" max="43" width="8.28515625" style="1" bestFit="1" customWidth="1"/>
    <col min="44" max="44" width="6.42578125" bestFit="1" customWidth="1"/>
    <col min="45" max="45" width="9.85546875" style="1" bestFit="1" customWidth="1"/>
    <col min="46" max="46" width="8.28515625" style="1" bestFit="1" customWidth="1"/>
    <col min="47" max="47" width="7.85546875" bestFit="1" customWidth="1"/>
    <col min="48" max="48" width="9.85546875" bestFit="1" customWidth="1"/>
    <col min="49" max="49" width="8.28515625" bestFit="1" customWidth="1"/>
    <col min="50" max="50" width="7.42578125" bestFit="1" customWidth="1"/>
    <col min="51" max="51" width="9.85546875" bestFit="1" customWidth="1"/>
    <col min="52" max="52" width="8.28515625" bestFit="1" customWidth="1"/>
    <col min="53" max="53" width="6.42578125" bestFit="1" customWidth="1"/>
    <col min="54" max="54" width="9.85546875" bestFit="1" customWidth="1"/>
    <col min="55" max="55" width="8.28515625" bestFit="1" customWidth="1"/>
    <col min="56" max="56" width="7" bestFit="1" customWidth="1"/>
    <col min="57" max="57" width="9.85546875" bestFit="1" customWidth="1"/>
    <col min="58" max="58" width="8.28515625" bestFit="1" customWidth="1"/>
    <col min="59" max="59" width="8" bestFit="1" customWidth="1"/>
    <col min="60" max="60" width="9.85546875" bestFit="1" customWidth="1"/>
    <col min="61" max="61" width="8.28515625" bestFit="1" customWidth="1"/>
    <col min="62" max="62" width="8" bestFit="1" customWidth="1"/>
    <col min="63" max="63" width="9.85546875" bestFit="1" customWidth="1"/>
    <col min="64" max="64" width="8.28515625" bestFit="1" customWidth="1"/>
    <col min="65" max="65" width="6.140625" bestFit="1" customWidth="1"/>
    <col min="66" max="66" width="9.85546875" bestFit="1" customWidth="1"/>
    <col min="67" max="67" width="8.28515625" bestFit="1" customWidth="1"/>
    <col min="68" max="68" width="7.140625" bestFit="1" customWidth="1"/>
    <col min="69" max="69" width="9.85546875" bestFit="1" customWidth="1"/>
    <col min="70" max="70" width="8.28515625" bestFit="1" customWidth="1"/>
    <col min="71" max="71" width="6.28515625" bestFit="1" customWidth="1"/>
    <col min="72" max="72" width="9.85546875" bestFit="1" customWidth="1"/>
    <col min="73" max="73" width="8.28515625" bestFit="1" customWidth="1"/>
    <col min="74" max="74" width="7.42578125" bestFit="1" customWidth="1"/>
    <col min="75" max="75" width="9.85546875" bestFit="1" customWidth="1"/>
    <col min="76" max="76" width="8.28515625" bestFit="1" customWidth="1"/>
    <col min="77" max="77" width="6.42578125" bestFit="1" customWidth="1"/>
    <col min="78" max="78" width="9.85546875" bestFit="1" customWidth="1"/>
    <col min="79" max="79" width="8.28515625" bestFit="1" customWidth="1"/>
    <col min="80" max="80" width="6.42578125" bestFit="1" customWidth="1"/>
    <col min="81" max="81" width="9.85546875" bestFit="1" customWidth="1"/>
    <col min="82" max="82" width="6.42578125" bestFit="1" customWidth="1"/>
  </cols>
  <sheetData>
    <row r="1" spans="1:82">
      <c r="A1" s="33" t="s">
        <v>9</v>
      </c>
      <c r="B1" s="33">
        <f>Реестр!D2</f>
        <v>444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Реестр!B2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 ht="15" customHeight="1">
      <c r="A3" s="33" t="s">
        <v>24</v>
      </c>
      <c r="B3" s="34" t="str">
        <f>Реестр!F2</f>
        <v>Гареева А.В.</v>
      </c>
      <c r="C3" s="20" t="s">
        <v>8</v>
      </c>
      <c r="D3" s="21"/>
      <c r="E3" s="21"/>
      <c r="F3" s="22">
        <f>E3-D3</f>
        <v>0</v>
      </c>
      <c r="G3" s="23">
        <f>F3*G4</f>
        <v>0</v>
      </c>
      <c r="H3" s="21"/>
      <c r="I3" s="22">
        <f>H3-E3</f>
        <v>0</v>
      </c>
      <c r="J3" s="23">
        <f>I3*J4</f>
        <v>0</v>
      </c>
      <c r="K3" s="21">
        <v>333333</v>
      </c>
      <c r="L3" s="22">
        <f>K3-H3</f>
        <v>333333</v>
      </c>
      <c r="M3" s="23">
        <f>L3*M4</f>
        <v>3058.100917431193</v>
      </c>
      <c r="N3" s="21"/>
      <c r="O3" s="22">
        <f>N3-K3</f>
        <v>-333333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 ht="15" customHeight="1">
      <c r="A4" s="33" t="s">
        <v>7</v>
      </c>
      <c r="B4" s="34">
        <f>Реестр!H2</f>
        <v>123.4</v>
      </c>
      <c r="C4" s="20" t="s">
        <v>10</v>
      </c>
      <c r="D4" s="24"/>
      <c r="E4" s="24"/>
      <c r="F4" s="24"/>
      <c r="G4" s="25">
        <f>'0. ГИРА'!G4</f>
        <v>4.5000045000045001E-2</v>
      </c>
      <c r="H4" s="24"/>
      <c r="I4" s="24"/>
      <c r="J4" s="25">
        <f>'0. ГИРА'!J4</f>
        <v>0.19565259924478096</v>
      </c>
      <c r="K4" s="24"/>
      <c r="L4" s="24"/>
      <c r="M4" s="25">
        <f>'0. ГИРА'!M4</f>
        <v>9.1743119266055051E-3</v>
      </c>
      <c r="N4" s="24"/>
      <c r="O4" s="24"/>
      <c r="P4" s="25">
        <f>'0. ГИРА'!P4</f>
        <v>0</v>
      </c>
      <c r="Q4" s="24"/>
      <c r="R4" s="24"/>
      <c r="S4" s="25" t="e">
        <f>'0. ГИРА'!S4</f>
        <v>#DIV/0!</v>
      </c>
      <c r="T4" s="24"/>
      <c r="U4" s="24"/>
      <c r="V4" s="25" t="e">
        <f>'0. ГИРА'!V4</f>
        <v>#DIV/0!</v>
      </c>
      <c r="W4" s="24"/>
      <c r="X4" s="24"/>
      <c r="Y4" s="25" t="e">
        <f>'0. ГИРА'!Y4</f>
        <v>#DIV/0!</v>
      </c>
      <c r="Z4" s="24"/>
      <c r="AA4" s="24"/>
      <c r="AB4" s="25" t="e">
        <f>'0. ГИРА'!AB4</f>
        <v>#DIV/0!</v>
      </c>
      <c r="AC4" s="24"/>
      <c r="AD4" s="24"/>
      <c r="AE4" s="25" t="e">
        <f>'0. ГИРА'!AE4</f>
        <v>#DIV/0!</v>
      </c>
      <c r="AF4" s="24"/>
      <c r="AG4" s="24"/>
      <c r="AH4" s="25" t="e">
        <f>'0. ГИРА'!AH4</f>
        <v>#DIV/0!</v>
      </c>
      <c r="AI4" s="24"/>
      <c r="AJ4" s="24"/>
      <c r="AK4" s="25" t="e">
        <f>'0. ГИРА'!AK4</f>
        <v>#DIV/0!</v>
      </c>
      <c r="AL4" s="24"/>
      <c r="AM4" s="24"/>
      <c r="AN4" s="25" t="e">
        <f>'0. ГИРА'!AN4</f>
        <v>#DIV/0!</v>
      </c>
      <c r="AO4" s="24"/>
      <c r="AP4" s="24"/>
      <c r="AQ4" s="25" t="e">
        <f>'0. ГИРА'!AQ4</f>
        <v>#DIV/0!</v>
      </c>
      <c r="AR4" s="24"/>
      <c r="AS4" s="24"/>
      <c r="AT4" s="25" t="e">
        <f>'0. ГИРА'!AT4</f>
        <v>#DIV/0!</v>
      </c>
      <c r="AU4" s="24"/>
      <c r="AV4" s="24"/>
      <c r="AW4" s="25" t="e">
        <f>'0. ГИРА'!AW4</f>
        <v>#DIV/0!</v>
      </c>
      <c r="AX4" s="24"/>
      <c r="AY4" s="24"/>
      <c r="AZ4" s="25" t="e">
        <f>'0. ГИРА'!AZ4</f>
        <v>#DIV/0!</v>
      </c>
      <c r="BA4" s="24"/>
      <c r="BB4" s="24"/>
      <c r="BC4" s="25" t="e">
        <f>'0. ГИРА'!BC4</f>
        <v>#DIV/0!</v>
      </c>
      <c r="BD4" s="24"/>
      <c r="BE4" s="24"/>
      <c r="BF4" s="25" t="e">
        <f>'0. ГИРА'!BF4</f>
        <v>#DIV/0!</v>
      </c>
      <c r="BG4" s="24"/>
      <c r="BH4" s="24"/>
      <c r="BI4" s="25" t="e">
        <f>'0. ГИРА'!BI4</f>
        <v>#DIV/0!</v>
      </c>
      <c r="BJ4" s="24"/>
      <c r="BK4" s="24"/>
      <c r="BL4" s="25" t="e">
        <f>'0. ГИРА'!BL4</f>
        <v>#DIV/0!</v>
      </c>
      <c r="BM4" s="24"/>
      <c r="BN4" s="24"/>
      <c r="BO4" s="25" t="e">
        <f>'0. ГИРА'!BO4</f>
        <v>#DIV/0!</v>
      </c>
      <c r="BP4" s="24"/>
      <c r="BQ4" s="24"/>
      <c r="BR4" s="25" t="e">
        <f>'0. ГИРА'!BR4</f>
        <v>#DIV/0!</v>
      </c>
      <c r="BS4" s="24"/>
      <c r="BT4" s="24"/>
      <c r="BU4" s="25" t="e">
        <f>'0. ГИРА'!BU4</f>
        <v>#DIV/0!</v>
      </c>
      <c r="BV4" s="24"/>
      <c r="BW4" s="24"/>
      <c r="BX4" s="25" t="e">
        <f>'0. ГИРА'!BX4</f>
        <v>#DIV/0!</v>
      </c>
      <c r="BY4" s="24"/>
      <c r="BZ4" s="24"/>
      <c r="CA4" s="25" t="e">
        <f>'0. ГИРА'!CA4</f>
        <v>#DIV/0!</v>
      </c>
      <c r="CB4" s="24"/>
      <c r="CC4" s="24"/>
      <c r="CD4" s="25">
        <f>'0. ГИРА'!CD4</f>
        <v>0</v>
      </c>
    </row>
    <row r="5" spans="1:82" ht="15" customHeight="1">
      <c r="C5" s="30" t="s">
        <v>12</v>
      </c>
      <c r="D5" s="21"/>
      <c r="E5" s="21"/>
      <c r="F5" s="22">
        <f>E5-D5</f>
        <v>0</v>
      </c>
      <c r="G5" s="23"/>
      <c r="H5" s="21"/>
      <c r="I5" s="22">
        <f>H5-E5</f>
        <v>0</v>
      </c>
      <c r="J5" s="23"/>
      <c r="K5" s="21" t="s">
        <v>25</v>
      </c>
      <c r="L5" s="22">
        <f>K5-H5</f>
        <v>11111</v>
      </c>
      <c r="M5" s="23"/>
      <c r="N5" s="21"/>
      <c r="O5" s="22">
        <f>N5-K5</f>
        <v>-11111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15" customHeight="1">
      <c r="A6" s="37" t="s">
        <v>26</v>
      </c>
      <c r="B6" s="34" t="str">
        <f>Реестр!M2</f>
        <v xml:space="preserve">Альфия    </v>
      </c>
      <c r="C6" s="30" t="s">
        <v>13</v>
      </c>
      <c r="D6" s="24"/>
      <c r="E6" s="24"/>
      <c r="F6" s="24"/>
      <c r="G6" s="25">
        <f>'0. ГИРА'!G6</f>
        <v>6.7500067500067498E-2</v>
      </c>
      <c r="H6" s="24"/>
      <c r="I6" s="24"/>
      <c r="J6" s="25">
        <f>'0. ГИРА'!J6</f>
        <v>0.14673944943358572</v>
      </c>
      <c r="K6" s="24"/>
      <c r="L6" s="24"/>
      <c r="M6" s="25">
        <f>'0. ГИРА'!M6</f>
        <v>-1.1069527173053609E-2</v>
      </c>
      <c r="N6" s="24"/>
      <c r="O6" s="24"/>
      <c r="P6" s="25">
        <f>'0. ГИРА'!P6</f>
        <v>0</v>
      </c>
      <c r="Q6" s="24"/>
      <c r="R6" s="24"/>
      <c r="S6" s="25" t="e">
        <f>'0. ГИРА'!S6</f>
        <v>#DIV/0!</v>
      </c>
      <c r="T6" s="24"/>
      <c r="U6" s="24"/>
      <c r="V6" s="25" t="e">
        <f>'0. ГИРА'!V6</f>
        <v>#DIV/0!</v>
      </c>
      <c r="W6" s="24"/>
      <c r="X6" s="24"/>
      <c r="Y6" s="25" t="e">
        <f>'0. ГИРА'!Y6</f>
        <v>#DIV/0!</v>
      </c>
      <c r="Z6" s="24"/>
      <c r="AA6" s="24"/>
      <c r="AB6" s="25" t="e">
        <f>'0. ГИРА'!AB6</f>
        <v>#DIV/0!</v>
      </c>
      <c r="AC6" s="24"/>
      <c r="AD6" s="24"/>
      <c r="AE6" s="25" t="e">
        <f>'0. ГИРА'!AE6</f>
        <v>#DIV/0!</v>
      </c>
      <c r="AF6" s="24"/>
      <c r="AG6" s="24"/>
      <c r="AH6" s="25" t="e">
        <f>'0. ГИРА'!AH6</f>
        <v>#DIV/0!</v>
      </c>
      <c r="AI6" s="24"/>
      <c r="AJ6" s="24"/>
      <c r="AK6" s="25" t="e">
        <f>'0. ГИРА'!AK6</f>
        <v>#DIV/0!</v>
      </c>
      <c r="AL6" s="24"/>
      <c r="AM6" s="24"/>
      <c r="AN6" s="25" t="e">
        <f>'0. ГИРА'!AN6</f>
        <v>#DIV/0!</v>
      </c>
      <c r="AO6" s="24"/>
      <c r="AP6" s="24"/>
      <c r="AQ6" s="25" t="e">
        <f>'0. ГИРА'!AQ6</f>
        <v>#DIV/0!</v>
      </c>
      <c r="AR6" s="24"/>
      <c r="AS6" s="24"/>
      <c r="AT6" s="25" t="e">
        <f>'0. ГИРА'!AT6</f>
        <v>#DIV/0!</v>
      </c>
      <c r="AU6" s="24"/>
      <c r="AV6" s="24"/>
      <c r="AW6" s="25" t="e">
        <f>'0. ГИРА'!AW6</f>
        <v>#DIV/0!</v>
      </c>
      <c r="AX6" s="24"/>
      <c r="AY6" s="24"/>
      <c r="AZ6" s="25" t="e">
        <f>'0. ГИРА'!AZ6</f>
        <v>#DIV/0!</v>
      </c>
      <c r="BA6" s="24"/>
      <c r="BB6" s="24"/>
      <c r="BC6" s="25" t="e">
        <f>'0. ГИРА'!BC6</f>
        <v>#DIV/0!</v>
      </c>
      <c r="BD6" s="24"/>
      <c r="BE6" s="24"/>
      <c r="BF6" s="25" t="e">
        <f>'0. ГИРА'!BF6</f>
        <v>#DIV/0!</v>
      </c>
      <c r="BG6" s="24"/>
      <c r="BH6" s="24"/>
      <c r="BI6" s="25" t="e">
        <f>'0. ГИРА'!BI6</f>
        <v>#DIV/0!</v>
      </c>
      <c r="BJ6" s="24"/>
      <c r="BK6" s="24"/>
      <c r="BL6" s="25" t="e">
        <f>'0. ГИРА'!BL6</f>
        <v>#DIV/0!</v>
      </c>
      <c r="BM6" s="24"/>
      <c r="BN6" s="24"/>
      <c r="BO6" s="25" t="e">
        <f>'0. ГИРА'!BO6</f>
        <v>#DIV/0!</v>
      </c>
      <c r="BP6" s="24"/>
      <c r="BQ6" s="24"/>
      <c r="BR6" s="25" t="e">
        <f>'0. ГИРА'!BR6</f>
        <v>#DIV/0!</v>
      </c>
      <c r="BS6" s="24"/>
      <c r="BT6" s="24"/>
      <c r="BU6" s="25" t="e">
        <f>'0. ГИРА'!BU6</f>
        <v>#DIV/0!</v>
      </c>
      <c r="BV6" s="24"/>
      <c r="BW6" s="24"/>
      <c r="BX6" s="25" t="e">
        <f>'0. ГИРА'!BX6</f>
        <v>#DIV/0!</v>
      </c>
      <c r="BY6" s="24"/>
      <c r="BZ6" s="24"/>
      <c r="CA6" s="25" t="e">
        <f>'0. ГИРА'!CA6</f>
        <v>#DIV/0!</v>
      </c>
      <c r="CB6" s="24"/>
      <c r="CC6" s="24"/>
      <c r="CD6" s="25">
        <f>'0. ГИРА'!CD6</f>
        <v>0</v>
      </c>
    </row>
    <row r="7" spans="1:82" ht="15" customHeight="1">
      <c r="A7" s="38" t="s">
        <v>27</v>
      </c>
      <c r="B7" s="33">
        <f>Реестр!N2</f>
        <v>89503228511</v>
      </c>
      <c r="C7" s="30" t="s">
        <v>14</v>
      </c>
      <c r="D7" s="68"/>
      <c r="E7" s="68"/>
      <c r="F7" s="69">
        <f>E7-D7</f>
        <v>0</v>
      </c>
      <c r="G7" s="70">
        <f>G8*F7</f>
        <v>0</v>
      </c>
      <c r="H7" s="68"/>
      <c r="I7" s="22">
        <f>H7-E7</f>
        <v>0</v>
      </c>
      <c r="J7" s="70">
        <f>J8*I7</f>
        <v>0</v>
      </c>
      <c r="K7" s="68" t="s">
        <v>28</v>
      </c>
      <c r="L7" s="22">
        <f>K7-H7</f>
        <v>22222</v>
      </c>
      <c r="M7" s="70">
        <f>M8*L7</f>
        <v>-1142.0439528167981</v>
      </c>
      <c r="N7" s="68"/>
      <c r="O7" s="22">
        <f>N7-K7</f>
        <v>-22222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15" customHeight="1">
      <c r="A8" s="37" t="s">
        <v>29</v>
      </c>
      <c r="B8" s="33" t="str">
        <f>Реестр!O2</f>
        <v>Карина</v>
      </c>
      <c r="C8" s="30" t="s">
        <v>15</v>
      </c>
      <c r="D8" s="71"/>
      <c r="E8" s="71"/>
      <c r="F8" s="71"/>
      <c r="G8" s="72">
        <f>'0. ГИРА'!G8</f>
        <v>9.0000090000090002E-2</v>
      </c>
      <c r="H8" s="71"/>
      <c r="I8" s="71"/>
      <c r="J8" s="72">
        <f>'0. ГИРА'!J8</f>
        <v>0.19565259924478096</v>
      </c>
      <c r="K8" s="71"/>
      <c r="L8" s="71"/>
      <c r="M8" s="72">
        <f>'0. ГИРА'!M8</f>
        <v>-5.1392491801673927E-2</v>
      </c>
      <c r="N8" s="71"/>
      <c r="O8" s="71"/>
      <c r="P8" s="72">
        <f>'0. ГИРА'!P8</f>
        <v>0</v>
      </c>
      <c r="Q8" s="71"/>
      <c r="R8" s="71"/>
      <c r="S8" s="72" t="e">
        <f>'0. ГИРА'!S8</f>
        <v>#DIV/0!</v>
      </c>
      <c r="T8" s="71"/>
      <c r="U8" s="71"/>
      <c r="V8" s="72" t="e">
        <f>'0. ГИРА'!V8</f>
        <v>#DIV/0!</v>
      </c>
      <c r="W8" s="71"/>
      <c r="X8" s="71"/>
      <c r="Y8" s="72" t="e">
        <f>'0. ГИРА'!Y8</f>
        <v>#DIV/0!</v>
      </c>
      <c r="Z8" s="71"/>
      <c r="AA8" s="71"/>
      <c r="AB8" s="72" t="e">
        <f>'0. ГИРА'!AB8</f>
        <v>#DIV/0!</v>
      </c>
      <c r="AC8" s="71"/>
      <c r="AD8" s="71"/>
      <c r="AE8" s="72" t="e">
        <f>'0. ГИРА'!AE8</f>
        <v>#DIV/0!</v>
      </c>
      <c r="AF8" s="71"/>
      <c r="AG8" s="71"/>
      <c r="AH8" s="72" t="e">
        <f>'0. ГИРА'!AH8</f>
        <v>#DIV/0!</v>
      </c>
      <c r="AI8" s="71"/>
      <c r="AJ8" s="71"/>
      <c r="AK8" s="72" t="e">
        <f>'0. ГИРА'!AK8</f>
        <v>#DIV/0!</v>
      </c>
      <c r="AL8" s="71"/>
      <c r="AM8" s="71"/>
      <c r="AN8" s="72" t="e">
        <f>'0. ГИРА'!AN8</f>
        <v>#DIV/0!</v>
      </c>
      <c r="AO8" s="71"/>
      <c r="AP8" s="71"/>
      <c r="AQ8" s="72" t="e">
        <f>'0. ГИРА'!AQ8</f>
        <v>#DIV/0!</v>
      </c>
      <c r="AR8" s="71"/>
      <c r="AS8" s="71"/>
      <c r="AT8" s="72" t="e">
        <f>'0. ГИРА'!AT8</f>
        <v>#DIV/0!</v>
      </c>
      <c r="AU8" s="71"/>
      <c r="AV8" s="71"/>
      <c r="AW8" s="72" t="e">
        <f>'0. ГИРА'!AW8</f>
        <v>#DIV/0!</v>
      </c>
      <c r="AX8" s="71"/>
      <c r="AY8" s="71"/>
      <c r="AZ8" s="72" t="e">
        <f>'0. ГИРА'!AZ8</f>
        <v>#DIV/0!</v>
      </c>
      <c r="BA8" s="71"/>
      <c r="BB8" s="71"/>
      <c r="BC8" s="72" t="e">
        <f>'0. ГИРА'!BC8</f>
        <v>#DIV/0!</v>
      </c>
      <c r="BD8" s="71"/>
      <c r="BE8" s="71"/>
      <c r="BF8" s="72" t="e">
        <f>'0. ГИРА'!BF8</f>
        <v>#DIV/0!</v>
      </c>
      <c r="BG8" s="71"/>
      <c r="BH8" s="71"/>
      <c r="BI8" s="72" t="e">
        <f>'0. ГИРА'!BI8</f>
        <v>#DIV/0!</v>
      </c>
      <c r="BJ8" s="71"/>
      <c r="BK8" s="71"/>
      <c r="BL8" s="72" t="e">
        <f>'0. ГИРА'!BL8</f>
        <v>#DIV/0!</v>
      </c>
      <c r="BM8" s="71"/>
      <c r="BN8" s="71"/>
      <c r="BO8" s="72" t="e">
        <f>'0. ГИРА'!BO8</f>
        <v>#DIV/0!</v>
      </c>
      <c r="BP8" s="71"/>
      <c r="BQ8" s="71"/>
      <c r="BR8" s="72" t="e">
        <f>'0. ГИРА'!BR8</f>
        <v>#DIV/0!</v>
      </c>
      <c r="BS8" s="71"/>
      <c r="BT8" s="71"/>
      <c r="BU8" s="72" t="e">
        <f>'0. ГИРА'!BU8</f>
        <v>#DIV/0!</v>
      </c>
      <c r="BV8" s="71"/>
      <c r="BW8" s="71"/>
      <c r="BX8" s="72" t="e">
        <f>'0. ГИРА'!BX8</f>
        <v>#DIV/0!</v>
      </c>
      <c r="BY8" s="71"/>
      <c r="BZ8" s="71"/>
      <c r="CA8" s="72" t="e">
        <f>'0. ГИРА'!CA8</f>
        <v>#DIV/0!</v>
      </c>
      <c r="CB8" s="71"/>
      <c r="CC8" s="71"/>
      <c r="CD8" s="72">
        <f>'0. ГИРА'!CD8</f>
        <v>0</v>
      </c>
    </row>
    <row r="9" spans="1:82" ht="14.1" customHeight="1">
      <c r="A9" s="38" t="s">
        <v>30</v>
      </c>
      <c r="B9" s="34">
        <f>Реестр!P2</f>
        <v>89372840305</v>
      </c>
      <c r="C9" s="20" t="s">
        <v>16</v>
      </c>
      <c r="D9" s="21"/>
      <c r="E9" s="21"/>
      <c r="F9" s="22">
        <f>E9-D9</f>
        <v>0</v>
      </c>
      <c r="G9" s="23">
        <f>G10*B4</f>
        <v>3037.8500359011191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M10*H3</f>
        <v>0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15" customHeight="1">
      <c r="C10" s="20" t="s">
        <v>17</v>
      </c>
      <c r="D10" s="24"/>
      <c r="E10" s="24"/>
      <c r="F10" s="24"/>
      <c r="G10" s="25">
        <f>'0. ГИРА'!G10</f>
        <v>24.617909529182487</v>
      </c>
      <c r="H10" s="24"/>
      <c r="I10" s="24"/>
      <c r="J10" s="25">
        <f>'0. ГИРА'!J10</f>
        <v>24.617909529182487</v>
      </c>
      <c r="K10" s="24"/>
      <c r="L10" s="24"/>
      <c r="M10" s="25">
        <f>'0. ГИРА'!M10</f>
        <v>20.514924607652073</v>
      </c>
      <c r="N10" s="24"/>
      <c r="O10" s="24"/>
      <c r="P10" s="25">
        <f>'0. ГИРА'!P10</f>
        <v>0</v>
      </c>
      <c r="Q10" s="24"/>
      <c r="R10" s="24"/>
      <c r="S10" s="25">
        <f>'0. ГИРА'!S10</f>
        <v>0</v>
      </c>
      <c r="T10" s="24"/>
      <c r="U10" s="24"/>
      <c r="V10" s="25">
        <f>'0. ГИРА'!V10</f>
        <v>0</v>
      </c>
      <c r="W10" s="24"/>
      <c r="X10" s="24"/>
      <c r="Y10" s="25">
        <f>'0. ГИРА'!Y10</f>
        <v>0</v>
      </c>
      <c r="Z10" s="24"/>
      <c r="AA10" s="24"/>
      <c r="AB10" s="25">
        <f>'0. ГИРА'!AB10</f>
        <v>0</v>
      </c>
      <c r="AC10" s="24"/>
      <c r="AD10" s="24"/>
      <c r="AE10" s="25">
        <f>'0. ГИРА'!AE10</f>
        <v>0</v>
      </c>
      <c r="AF10" s="24"/>
      <c r="AG10" s="24"/>
      <c r="AH10" s="25">
        <f>'0. ГИРА'!AH10</f>
        <v>0</v>
      </c>
      <c r="AI10" s="24"/>
      <c r="AJ10" s="24"/>
      <c r="AK10" s="25">
        <f>'0. ГИРА'!AK10</f>
        <v>0</v>
      </c>
      <c r="AL10" s="24"/>
      <c r="AM10" s="24"/>
      <c r="AN10" s="25">
        <f>'0. ГИРА'!AN10</f>
        <v>0</v>
      </c>
      <c r="AO10" s="24"/>
      <c r="AP10" s="24"/>
      <c r="AQ10" s="25">
        <f>'0. ГИРА'!AQ10</f>
        <v>0</v>
      </c>
      <c r="AR10" s="24"/>
      <c r="AS10" s="24"/>
      <c r="AT10" s="25">
        <f>'0. ГИРА'!AT10</f>
        <v>0</v>
      </c>
      <c r="AU10" s="24"/>
      <c r="AV10" s="24"/>
      <c r="AW10" s="25">
        <f>'0. ГИРА'!AW10</f>
        <v>0</v>
      </c>
      <c r="AX10" s="24"/>
      <c r="AY10" s="24"/>
      <c r="AZ10" s="25">
        <f>'0. ГИРА'!AZ10</f>
        <v>0</v>
      </c>
      <c r="BA10" s="24"/>
      <c r="BB10" s="24"/>
      <c r="BC10" s="25">
        <f>'0. ГИРА'!BC10</f>
        <v>0</v>
      </c>
      <c r="BD10" s="24"/>
      <c r="BE10" s="24"/>
      <c r="BF10" s="25">
        <f>'0. ГИРА'!BF10</f>
        <v>0</v>
      </c>
      <c r="BG10" s="24"/>
      <c r="BH10" s="24"/>
      <c r="BI10" s="25">
        <f>'0. ГИРА'!BI10</f>
        <v>0</v>
      </c>
      <c r="BJ10" s="24"/>
      <c r="BK10" s="24"/>
      <c r="BL10" s="25">
        <f>'0. ГИРА'!BL10</f>
        <v>0</v>
      </c>
      <c r="BM10" s="24"/>
      <c r="BN10" s="24"/>
      <c r="BO10" s="25">
        <f>'0. ГИРА'!BO10</f>
        <v>0</v>
      </c>
      <c r="BP10" s="24"/>
      <c r="BQ10" s="24"/>
      <c r="BR10" s="25">
        <f>'0. ГИРА'!BR10</f>
        <v>0</v>
      </c>
      <c r="BS10" s="24"/>
      <c r="BT10" s="24"/>
      <c r="BU10" s="25">
        <f>'0. ГИРА'!BU10</f>
        <v>0</v>
      </c>
      <c r="BV10" s="24"/>
      <c r="BW10" s="24"/>
      <c r="BX10" s="25">
        <f>'0. ГИРА'!BX10</f>
        <v>0</v>
      </c>
      <c r="BY10" s="24"/>
      <c r="BZ10" s="24"/>
      <c r="CA10" s="25">
        <f>'0. ГИРА'!CA10</f>
        <v>0</v>
      </c>
      <c r="CB10" s="24"/>
      <c r="CC10" s="24"/>
      <c r="CD10" s="25">
        <f>'0. ГИРА'!CD10</f>
        <v>0</v>
      </c>
    </row>
    <row r="11" spans="1:82">
      <c r="A11" s="67" t="s">
        <v>31</v>
      </c>
      <c r="C11" s="26" t="s">
        <v>18</v>
      </c>
      <c r="D11" s="21"/>
      <c r="E11" s="21"/>
      <c r="F11" s="22">
        <f>E11-D11</f>
        <v>0</v>
      </c>
      <c r="G11" s="23"/>
      <c r="H11" s="21"/>
      <c r="I11" s="22">
        <f>H11-E11</f>
        <v>0</v>
      </c>
      <c r="J11" s="23">
        <f>J12*E3</f>
        <v>0</v>
      </c>
      <c r="K11" s="21"/>
      <c r="L11" s="22">
        <f>K11-H11</f>
        <v>0</v>
      </c>
      <c r="M11" s="23">
        <f>M12*H3</f>
        <v>0</v>
      </c>
      <c r="N11" s="21"/>
      <c r="O11" s="22">
        <f>N11-K11</f>
        <v>0</v>
      </c>
      <c r="P11" s="23">
        <f>P12*K3</f>
        <v>0</v>
      </c>
      <c r="Q11" s="21"/>
      <c r="R11" s="22">
        <f>Q11-N11</f>
        <v>0</v>
      </c>
      <c r="S11" s="23">
        <f>S12*N3</f>
        <v>0</v>
      </c>
      <c r="T11" s="21"/>
      <c r="U11" s="22">
        <f>T11-Q11</f>
        <v>0</v>
      </c>
      <c r="V11" s="23">
        <f>V12*Q3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'0. ГИРА'!G12</f>
        <v>12142.857142857143</v>
      </c>
      <c r="H12" s="24"/>
      <c r="I12" s="24"/>
      <c r="J12" s="25">
        <f>'0. ГИРА'!J12</f>
        <v>174.37685916504262</v>
      </c>
      <c r="K12" s="24"/>
      <c r="L12" s="24"/>
      <c r="M12" s="25">
        <f>'0. ГИРА'!M12</f>
        <v>102.57462303826036</v>
      </c>
      <c r="N12" s="24"/>
      <c r="O12" s="24"/>
      <c r="P12" s="25">
        <f>'0. ГИРА'!P12</f>
        <v>0</v>
      </c>
      <c r="Q12" s="24"/>
      <c r="R12" s="24"/>
      <c r="S12" s="25">
        <f>'0. ГИРА'!S12</f>
        <v>0</v>
      </c>
      <c r="T12" s="24"/>
      <c r="U12" s="24"/>
      <c r="V12" s="25">
        <f>'0. ГИРА'!V12</f>
        <v>0</v>
      </c>
      <c r="W12" s="24"/>
      <c r="X12" s="24"/>
      <c r="Y12" s="25">
        <f>'0. ГИРА'!Y12</f>
        <v>0</v>
      </c>
      <c r="Z12" s="24"/>
      <c r="AA12" s="24"/>
      <c r="AB12" s="25">
        <f>'0. ГИРА'!AB12</f>
        <v>0</v>
      </c>
      <c r="AC12" s="24"/>
      <c r="AD12" s="24"/>
      <c r="AE12" s="25">
        <f>'0. ГИРА'!AE12</f>
        <v>0</v>
      </c>
      <c r="AF12" s="24"/>
      <c r="AG12" s="24"/>
      <c r="AH12" s="25">
        <f>'0. ГИРА'!AH12</f>
        <v>0</v>
      </c>
      <c r="AI12" s="24"/>
      <c r="AJ12" s="24"/>
      <c r="AK12" s="25">
        <f>'0. ГИРА'!AK12</f>
        <v>0</v>
      </c>
      <c r="AL12" s="24"/>
      <c r="AM12" s="24"/>
      <c r="AN12" s="25">
        <f>'0. ГИРА'!AN12</f>
        <v>0</v>
      </c>
      <c r="AO12" s="24"/>
      <c r="AP12" s="24"/>
      <c r="AQ12" s="25">
        <f>'0. ГИРА'!AQ12</f>
        <v>0</v>
      </c>
      <c r="AR12" s="24"/>
      <c r="AS12" s="24"/>
      <c r="AT12" s="25">
        <f>'0. ГИРА'!AT12</f>
        <v>0</v>
      </c>
      <c r="AU12" s="24"/>
      <c r="AV12" s="24"/>
      <c r="AW12" s="25">
        <f>'0. ГИРА'!AW12</f>
        <v>0</v>
      </c>
      <c r="AX12" s="24"/>
      <c r="AY12" s="24"/>
      <c r="AZ12" s="25">
        <f>'0. ГИРА'!AZ12</f>
        <v>0</v>
      </c>
      <c r="BA12" s="24"/>
      <c r="BB12" s="24"/>
      <c r="BC12" s="25">
        <f>'0. ГИРА'!BC12</f>
        <v>0</v>
      </c>
      <c r="BD12" s="24"/>
      <c r="BE12" s="24"/>
      <c r="BF12" s="25">
        <f>'0. ГИРА'!BF12</f>
        <v>0</v>
      </c>
      <c r="BG12" s="24"/>
      <c r="BH12" s="24"/>
      <c r="BI12" s="25">
        <f>'0. ГИРА'!BI12</f>
        <v>0</v>
      </c>
      <c r="BJ12" s="24"/>
      <c r="BK12" s="24"/>
      <c r="BL12" s="25">
        <f>'0. ГИРА'!BL12</f>
        <v>0</v>
      </c>
      <c r="BM12" s="24"/>
      <c r="BN12" s="24"/>
      <c r="BO12" s="25">
        <f>'0. ГИРА'!BO12</f>
        <v>0</v>
      </c>
      <c r="BP12" s="24"/>
      <c r="BQ12" s="24"/>
      <c r="BR12" s="25">
        <f>'0. ГИРА'!BR12</f>
        <v>0</v>
      </c>
      <c r="BS12" s="24"/>
      <c r="BT12" s="24"/>
      <c r="BU12" s="25">
        <f>'0. ГИРА'!BU12</f>
        <v>0</v>
      </c>
      <c r="BV12" s="24"/>
      <c r="BW12" s="24"/>
      <c r="BX12" s="25">
        <f>'0. ГИРА'!BX12</f>
        <v>0</v>
      </c>
      <c r="BY12" s="24"/>
      <c r="BZ12" s="24"/>
      <c r="CA12" s="25">
        <f>'0. ГИРА'!CA12</f>
        <v>0</v>
      </c>
      <c r="CB12" s="24"/>
      <c r="CC12" s="24"/>
      <c r="CD12" s="25">
        <f>'0. ГИРА'!CD12</f>
        <v>0</v>
      </c>
    </row>
    <row r="13" spans="1:82">
      <c r="D13" s="14"/>
      <c r="E13" s="14"/>
      <c r="F13" s="15"/>
      <c r="G13" s="16"/>
    </row>
    <row r="14" spans="1:82">
      <c r="G14" s="16"/>
    </row>
    <row r="15" spans="1:82">
      <c r="G15" s="16"/>
    </row>
    <row r="16" spans="1:82">
      <c r="G16" s="16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16"/>
  <sheetViews>
    <sheetView zoomScale="122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J6" sqref="J6"/>
    </sheetView>
  </sheetViews>
  <sheetFormatPr defaultColWidth="10" defaultRowHeight="15"/>
  <cols>
    <col min="1" max="1" width="13.140625" bestFit="1" customWidth="1"/>
    <col min="2" max="2" width="25.28515625" customWidth="1"/>
    <col min="3" max="3" width="25.42578125" style="1" customWidth="1"/>
    <col min="4" max="4" width="7.42578125" bestFit="1" customWidth="1"/>
    <col min="5" max="5" width="11.28515625" customWidth="1"/>
    <col min="6" max="6" width="9.85546875" style="1" bestFit="1" customWidth="1"/>
    <col min="7" max="7" width="11.28515625" style="1" customWidth="1"/>
    <col min="8" max="8" width="12.42578125" customWidth="1"/>
    <col min="9" max="9" width="9.85546875" style="1" bestFit="1" customWidth="1"/>
    <col min="10" max="10" width="13.7109375" style="1" customWidth="1"/>
    <col min="11" max="11" width="7.85546875" bestFit="1" customWidth="1"/>
    <col min="12" max="12" width="9.85546875" style="1" bestFit="1" customWidth="1"/>
    <col min="13" max="13" width="20.42578125" style="1" customWidth="1"/>
    <col min="14" max="14" width="7.42578125" bestFit="1" customWidth="1"/>
    <col min="15" max="15" width="9.85546875" style="1" bestFit="1" customWidth="1"/>
    <col min="16" max="16" width="8.28515625" style="1" bestFit="1" customWidth="1"/>
    <col min="17" max="17" width="6.42578125" bestFit="1" customWidth="1"/>
    <col min="18" max="18" width="9.85546875" style="1" bestFit="1" customWidth="1"/>
    <col min="19" max="19" width="12" style="1" customWidth="1"/>
    <col min="20" max="20" width="7" bestFit="1" customWidth="1"/>
    <col min="21" max="21" width="9.85546875" style="1" bestFit="1" customWidth="1"/>
    <col min="22" max="22" width="8.28515625" style="1" bestFit="1" customWidth="1"/>
    <col min="23" max="23" width="8" bestFit="1" customWidth="1"/>
    <col min="24" max="24" width="9.85546875" style="1" bestFit="1" customWidth="1"/>
    <col min="25" max="25" width="8.28515625" style="1" bestFit="1" customWidth="1"/>
    <col min="26" max="26" width="8" bestFit="1" customWidth="1"/>
    <col min="27" max="27" width="9.85546875" style="1" bestFit="1" customWidth="1"/>
    <col min="28" max="28" width="8.28515625" style="1" bestFit="1" customWidth="1"/>
    <col min="29" max="29" width="6.140625" bestFit="1" customWidth="1"/>
    <col min="30" max="30" width="9.85546875" style="1" bestFit="1" customWidth="1"/>
    <col min="31" max="31" width="8.28515625" style="1" bestFit="1" customWidth="1"/>
    <col min="32" max="32" width="7.140625" bestFit="1" customWidth="1"/>
    <col min="33" max="33" width="9.85546875" style="1" bestFit="1" customWidth="1"/>
    <col min="34" max="34" width="8.28515625" style="1" bestFit="1" customWidth="1"/>
    <col min="35" max="35" width="6.28515625" bestFit="1" customWidth="1"/>
    <col min="36" max="36" width="9.85546875" style="1" bestFit="1" customWidth="1"/>
    <col min="37" max="37" width="8.28515625" style="1" bestFit="1" customWidth="1"/>
    <col min="38" max="38" width="7.42578125" bestFit="1" customWidth="1"/>
    <col min="39" max="39" width="9.85546875" style="1" bestFit="1" customWidth="1"/>
    <col min="40" max="40" width="8.28515625" style="1" bestFit="1" customWidth="1"/>
    <col min="41" max="41" width="6.42578125" bestFit="1" customWidth="1"/>
    <col min="42" max="42" width="9.85546875" style="1" bestFit="1" customWidth="1"/>
    <col min="43" max="43" width="8.28515625" style="1" bestFit="1" customWidth="1"/>
    <col min="44" max="44" width="6.42578125" bestFit="1" customWidth="1"/>
    <col min="45" max="45" width="9.85546875" style="1" bestFit="1" customWidth="1"/>
    <col min="46" max="46" width="8.28515625" style="1" bestFit="1" customWidth="1"/>
    <col min="47" max="47" width="7.85546875" bestFit="1" customWidth="1"/>
    <col min="48" max="48" width="9.85546875" bestFit="1" customWidth="1"/>
    <col min="49" max="49" width="8.28515625" bestFit="1" customWidth="1"/>
    <col min="50" max="50" width="7.42578125" bestFit="1" customWidth="1"/>
    <col min="51" max="51" width="9.85546875" bestFit="1" customWidth="1"/>
    <col min="52" max="52" width="8.28515625" bestFit="1" customWidth="1"/>
    <col min="53" max="53" width="6.42578125" bestFit="1" customWidth="1"/>
    <col min="54" max="54" width="9.85546875" bestFit="1" customWidth="1"/>
    <col min="55" max="55" width="8.28515625" bestFit="1" customWidth="1"/>
    <col min="56" max="56" width="7" bestFit="1" customWidth="1"/>
    <col min="57" max="57" width="9.85546875" bestFit="1" customWidth="1"/>
    <col min="58" max="58" width="8.28515625" bestFit="1" customWidth="1"/>
    <col min="59" max="59" width="8" bestFit="1" customWidth="1"/>
    <col min="60" max="60" width="9.85546875" bestFit="1" customWidth="1"/>
    <col min="61" max="61" width="8.28515625" bestFit="1" customWidth="1"/>
    <col min="62" max="62" width="8" bestFit="1" customWidth="1"/>
    <col min="63" max="63" width="9.85546875" bestFit="1" customWidth="1"/>
    <col min="64" max="64" width="8.28515625" bestFit="1" customWidth="1"/>
    <col min="65" max="65" width="6.140625" bestFit="1" customWidth="1"/>
    <col min="66" max="66" width="9.85546875" bestFit="1" customWidth="1"/>
    <col min="67" max="67" width="8.28515625" bestFit="1" customWidth="1"/>
    <col min="68" max="68" width="7.140625" bestFit="1" customWidth="1"/>
    <col min="69" max="69" width="9.85546875" bestFit="1" customWidth="1"/>
    <col min="70" max="70" width="8.28515625" bestFit="1" customWidth="1"/>
    <col min="71" max="71" width="6.28515625" bestFit="1" customWidth="1"/>
    <col min="72" max="72" width="9.85546875" bestFit="1" customWidth="1"/>
    <col min="73" max="73" width="8.28515625" bestFit="1" customWidth="1"/>
    <col min="74" max="74" width="7.42578125" bestFit="1" customWidth="1"/>
    <col min="75" max="75" width="9.85546875" bestFit="1" customWidth="1"/>
    <col min="76" max="76" width="8.28515625" bestFit="1" customWidth="1"/>
    <col min="77" max="77" width="6.42578125" bestFit="1" customWidth="1"/>
    <col min="78" max="78" width="9.85546875" bestFit="1" customWidth="1"/>
    <col min="79" max="79" width="8.28515625" bestFit="1" customWidth="1"/>
    <col min="80" max="80" width="6.42578125" bestFit="1" customWidth="1"/>
    <col min="81" max="81" width="9.85546875" bestFit="1" customWidth="1"/>
    <col min="82" max="82" width="6.42578125" bestFit="1" customWidth="1"/>
  </cols>
  <sheetData>
    <row r="1" spans="1:82">
      <c r="A1" s="33" t="s">
        <v>9</v>
      </c>
      <c r="B1" s="33">
        <f>Реестр!D3</f>
        <v>111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Реестр!B3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>
      <c r="A3" s="33" t="s">
        <v>24</v>
      </c>
      <c r="B3" s="34" t="str">
        <f>Реестр!F3</f>
        <v xml:space="preserve"> Гарипов И.К.</v>
      </c>
      <c r="C3" s="20" t="s">
        <v>8</v>
      </c>
      <c r="D3" s="21"/>
      <c r="E3" s="21"/>
      <c r="F3" s="22">
        <f>E3-D3</f>
        <v>0</v>
      </c>
      <c r="G3" s="23">
        <f>F3*G4</f>
        <v>0</v>
      </c>
      <c r="H3" s="21">
        <v>200000</v>
      </c>
      <c r="I3" s="22">
        <f>H3-E3</f>
        <v>200000</v>
      </c>
      <c r="J3" s="23">
        <f>I3*J4</f>
        <v>39130.519848956188</v>
      </c>
      <c r="K3" s="21" t="s">
        <v>32</v>
      </c>
      <c r="L3" s="22">
        <f>K3-H3</f>
        <v>478766</v>
      </c>
      <c r="M3" s="23">
        <f>L3*M4</f>
        <v>4392.3486238532114</v>
      </c>
      <c r="N3" s="21"/>
      <c r="O3" s="22">
        <f>N3-K3</f>
        <v>-678766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>
      <c r="A4" s="33" t="s">
        <v>7</v>
      </c>
      <c r="B4" s="34">
        <f>Реестр!H3</f>
        <v>102.6</v>
      </c>
      <c r="C4" s="20" t="s">
        <v>10</v>
      </c>
      <c r="D4" s="24"/>
      <c r="E4" s="24"/>
      <c r="F4" s="24"/>
      <c r="G4" s="25">
        <f>'0. ГИРА'!G4</f>
        <v>4.5000045000045001E-2</v>
      </c>
      <c r="H4" s="24"/>
      <c r="I4" s="24"/>
      <c r="J4" s="25">
        <f>'0. ГИРА'!J4</f>
        <v>0.19565259924478096</v>
      </c>
      <c r="K4" s="24"/>
      <c r="L4" s="24"/>
      <c r="M4" s="25">
        <f>'0. ГИРА'!M4</f>
        <v>9.1743119266055051E-3</v>
      </c>
      <c r="N4" s="24"/>
      <c r="O4" s="24"/>
      <c r="P4" s="25">
        <f>'0. ГИРА'!P4</f>
        <v>0</v>
      </c>
      <c r="Q4" s="24"/>
      <c r="R4" s="24"/>
      <c r="S4" s="25" t="e">
        <f>'0. ГИРА'!S4</f>
        <v>#DIV/0!</v>
      </c>
      <c r="T4" s="24"/>
      <c r="U4" s="24"/>
      <c r="V4" s="25" t="e">
        <f>'0. ГИРА'!V4</f>
        <v>#DIV/0!</v>
      </c>
      <c r="W4" s="24"/>
      <c r="X4" s="24"/>
      <c r="Y4" s="25" t="e">
        <f>'0. ГИРА'!Y4</f>
        <v>#DIV/0!</v>
      </c>
      <c r="Z4" s="24"/>
      <c r="AA4" s="24"/>
      <c r="AB4" s="25" t="e">
        <f>'0. ГИРА'!AB4</f>
        <v>#DIV/0!</v>
      </c>
      <c r="AC4" s="24"/>
      <c r="AD4" s="24"/>
      <c r="AE4" s="25" t="e">
        <f>'0. ГИРА'!AE4</f>
        <v>#DIV/0!</v>
      </c>
      <c r="AF4" s="24"/>
      <c r="AG4" s="24"/>
      <c r="AH4" s="25" t="e">
        <f>'0. ГИРА'!AH4</f>
        <v>#DIV/0!</v>
      </c>
      <c r="AI4" s="24"/>
      <c r="AJ4" s="24"/>
      <c r="AK4" s="25" t="e">
        <f>'0. ГИРА'!AK4</f>
        <v>#DIV/0!</v>
      </c>
      <c r="AL4" s="24"/>
      <c r="AM4" s="24"/>
      <c r="AN4" s="25" t="e">
        <f>'0. ГИРА'!AN4</f>
        <v>#DIV/0!</v>
      </c>
      <c r="AO4" s="24"/>
      <c r="AP4" s="24"/>
      <c r="AQ4" s="25" t="e">
        <f>'0. ГИРА'!AQ4</f>
        <v>#DIV/0!</v>
      </c>
      <c r="AR4" s="24"/>
      <c r="AS4" s="24"/>
      <c r="AT4" s="25" t="e">
        <f>'0. ГИРА'!AT4</f>
        <v>#DIV/0!</v>
      </c>
      <c r="AU4" s="24"/>
      <c r="AV4" s="24"/>
      <c r="AW4" s="25" t="e">
        <f>'0. ГИРА'!AW4</f>
        <v>#DIV/0!</v>
      </c>
      <c r="AX4" s="24"/>
      <c r="AY4" s="24"/>
      <c r="AZ4" s="25" t="e">
        <f>'0. ГИРА'!AZ4</f>
        <v>#DIV/0!</v>
      </c>
      <c r="BA4" s="24"/>
      <c r="BB4" s="24"/>
      <c r="BC4" s="25" t="e">
        <f>'0. ГИРА'!BC4</f>
        <v>#DIV/0!</v>
      </c>
      <c r="BD4" s="24"/>
      <c r="BE4" s="24"/>
      <c r="BF4" s="25" t="e">
        <f>'0. ГИРА'!BF4</f>
        <v>#DIV/0!</v>
      </c>
      <c r="BG4" s="24"/>
      <c r="BH4" s="24"/>
      <c r="BI4" s="25" t="e">
        <f>'0. ГИРА'!BI4</f>
        <v>#DIV/0!</v>
      </c>
      <c r="BJ4" s="24"/>
      <c r="BK4" s="24"/>
      <c r="BL4" s="25" t="e">
        <f>'0. ГИРА'!BL4</f>
        <v>#DIV/0!</v>
      </c>
      <c r="BM4" s="24"/>
      <c r="BN4" s="24"/>
      <c r="BO4" s="25" t="e">
        <f>'0. ГИРА'!BO4</f>
        <v>#DIV/0!</v>
      </c>
      <c r="BP4" s="24"/>
      <c r="BQ4" s="24"/>
      <c r="BR4" s="25" t="e">
        <f>'0. ГИРА'!BR4</f>
        <v>#DIV/0!</v>
      </c>
      <c r="BS4" s="24"/>
      <c r="BT4" s="24"/>
      <c r="BU4" s="25" t="e">
        <f>'0. ГИРА'!BU4</f>
        <v>#DIV/0!</v>
      </c>
      <c r="BV4" s="24"/>
      <c r="BW4" s="24"/>
      <c r="BX4" s="25" t="e">
        <f>'0. ГИРА'!BX4</f>
        <v>#DIV/0!</v>
      </c>
      <c r="BY4" s="24"/>
      <c r="BZ4" s="24"/>
      <c r="CA4" s="25" t="e">
        <f>'0. ГИРА'!CA4</f>
        <v>#DIV/0!</v>
      </c>
      <c r="CB4" s="24"/>
      <c r="CC4" s="24"/>
      <c r="CD4" s="25">
        <f>'0. ГИРА'!CD4</f>
        <v>0</v>
      </c>
    </row>
    <row r="5" spans="1:82" ht="15" customHeight="1">
      <c r="A5" s="36"/>
      <c r="B5" s="36"/>
      <c r="C5" s="30" t="s">
        <v>12</v>
      </c>
      <c r="D5" s="21"/>
      <c r="E5" s="21"/>
      <c r="F5" s="22">
        <f>E5-D5</f>
        <v>0</v>
      </c>
      <c r="G5" s="23"/>
      <c r="H5" s="21">
        <v>20000</v>
      </c>
      <c r="I5" s="22">
        <f>H5-E5</f>
        <v>20000</v>
      </c>
      <c r="J5" s="23">
        <f>I5*J6</f>
        <v>2934.7889886717144</v>
      </c>
      <c r="K5" s="21" t="s">
        <v>25</v>
      </c>
      <c r="L5" s="22">
        <f>K5-H5</f>
        <v>-8889</v>
      </c>
      <c r="M5" s="23">
        <f>L5*M6</f>
        <v>98.397027041273532</v>
      </c>
      <c r="N5" s="21"/>
      <c r="O5" s="22">
        <f>N5-K5</f>
        <v>-11111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15" customHeight="1">
      <c r="A6" s="37" t="s">
        <v>26</v>
      </c>
      <c r="B6" s="34" t="str">
        <f>Реестр!M3</f>
        <v xml:space="preserve">Ильнар </v>
      </c>
      <c r="C6" s="30" t="s">
        <v>13</v>
      </c>
      <c r="D6" s="24"/>
      <c r="E6" s="24"/>
      <c r="F6" s="24"/>
      <c r="G6" s="25">
        <f>'0. ГИРА'!G6</f>
        <v>6.7500067500067498E-2</v>
      </c>
      <c r="H6" s="24"/>
      <c r="I6" s="24"/>
      <c r="J6" s="25">
        <f>'0. ГИРА'!J6</f>
        <v>0.14673944943358572</v>
      </c>
      <c r="K6" s="24"/>
      <c r="L6" s="24"/>
      <c r="M6" s="25">
        <f>'0. ГИРА'!M6</f>
        <v>-1.1069527173053609E-2</v>
      </c>
      <c r="N6" s="24"/>
      <c r="O6" s="24"/>
      <c r="P6" s="25">
        <f>'0. ГИРА'!P6</f>
        <v>0</v>
      </c>
      <c r="Q6" s="24"/>
      <c r="R6" s="24"/>
      <c r="S6" s="25" t="e">
        <f>'0. ГИРА'!S6</f>
        <v>#DIV/0!</v>
      </c>
      <c r="T6" s="24"/>
      <c r="U6" s="24"/>
      <c r="V6" s="25" t="e">
        <f>'0. ГИРА'!V6</f>
        <v>#DIV/0!</v>
      </c>
      <c r="W6" s="24"/>
      <c r="X6" s="24"/>
      <c r="Y6" s="25" t="e">
        <f>'0. ГИРА'!Y6</f>
        <v>#DIV/0!</v>
      </c>
      <c r="Z6" s="24"/>
      <c r="AA6" s="24"/>
      <c r="AB6" s="25" t="e">
        <f>'0. ГИРА'!AB6</f>
        <v>#DIV/0!</v>
      </c>
      <c r="AC6" s="24"/>
      <c r="AD6" s="24"/>
      <c r="AE6" s="25" t="e">
        <f>'0. ГИРА'!AE6</f>
        <v>#DIV/0!</v>
      </c>
      <c r="AF6" s="24"/>
      <c r="AG6" s="24"/>
      <c r="AH6" s="25" t="e">
        <f>'0. ГИРА'!AH6</f>
        <v>#DIV/0!</v>
      </c>
      <c r="AI6" s="24"/>
      <c r="AJ6" s="24"/>
      <c r="AK6" s="25" t="e">
        <f>'0. ГИРА'!AK6</f>
        <v>#DIV/0!</v>
      </c>
      <c r="AL6" s="24"/>
      <c r="AM6" s="24"/>
      <c r="AN6" s="25" t="e">
        <f>'0. ГИРА'!AN6</f>
        <v>#DIV/0!</v>
      </c>
      <c r="AO6" s="24"/>
      <c r="AP6" s="24"/>
      <c r="AQ6" s="25" t="e">
        <f>'0. ГИРА'!AQ6</f>
        <v>#DIV/0!</v>
      </c>
      <c r="AR6" s="24"/>
      <c r="AS6" s="24"/>
      <c r="AT6" s="25" t="e">
        <f>'0. ГИРА'!AT6</f>
        <v>#DIV/0!</v>
      </c>
      <c r="AU6" s="24"/>
      <c r="AV6" s="24"/>
      <c r="AW6" s="25" t="e">
        <f>'0. ГИРА'!AW6</f>
        <v>#DIV/0!</v>
      </c>
      <c r="AX6" s="24"/>
      <c r="AY6" s="24"/>
      <c r="AZ6" s="25" t="e">
        <f>'0. ГИРА'!AZ6</f>
        <v>#DIV/0!</v>
      </c>
      <c r="BA6" s="24"/>
      <c r="BB6" s="24"/>
      <c r="BC6" s="25" t="e">
        <f>'0. ГИРА'!BC6</f>
        <v>#DIV/0!</v>
      </c>
      <c r="BD6" s="24"/>
      <c r="BE6" s="24"/>
      <c r="BF6" s="25" t="e">
        <f>'0. ГИРА'!BF6</f>
        <v>#DIV/0!</v>
      </c>
      <c r="BG6" s="24"/>
      <c r="BH6" s="24"/>
      <c r="BI6" s="25" t="e">
        <f>'0. ГИРА'!BI6</f>
        <v>#DIV/0!</v>
      </c>
      <c r="BJ6" s="24"/>
      <c r="BK6" s="24"/>
      <c r="BL6" s="25" t="e">
        <f>'0. ГИРА'!BL6</f>
        <v>#DIV/0!</v>
      </c>
      <c r="BM6" s="24"/>
      <c r="BN6" s="24"/>
      <c r="BO6" s="25" t="e">
        <f>'0. ГИРА'!BO6</f>
        <v>#DIV/0!</v>
      </c>
      <c r="BP6" s="24"/>
      <c r="BQ6" s="24"/>
      <c r="BR6" s="25" t="e">
        <f>'0. ГИРА'!BR6</f>
        <v>#DIV/0!</v>
      </c>
      <c r="BS6" s="24"/>
      <c r="BT6" s="24"/>
      <c r="BU6" s="25" t="e">
        <f>'0. ГИРА'!BU6</f>
        <v>#DIV/0!</v>
      </c>
      <c r="BV6" s="24"/>
      <c r="BW6" s="24"/>
      <c r="BX6" s="25" t="e">
        <f>'0. ГИРА'!BX6</f>
        <v>#DIV/0!</v>
      </c>
      <c r="BY6" s="24"/>
      <c r="BZ6" s="24"/>
      <c r="CA6" s="25" t="e">
        <f>'0. ГИРА'!CA6</f>
        <v>#DIV/0!</v>
      </c>
      <c r="CB6" s="24"/>
      <c r="CC6" s="24"/>
      <c r="CD6" s="25">
        <f>'0. ГИРА'!CD6</f>
        <v>0</v>
      </c>
    </row>
    <row r="7" spans="1:82" ht="15" customHeight="1">
      <c r="A7" s="38" t="s">
        <v>27</v>
      </c>
      <c r="B7" s="33">
        <f>Реестр!N3</f>
        <v>89053164414</v>
      </c>
      <c r="C7" s="30" t="s">
        <v>14</v>
      </c>
      <c r="D7" s="68"/>
      <c r="E7" s="68"/>
      <c r="F7" s="69">
        <f>E7-D7</f>
        <v>0</v>
      </c>
      <c r="G7" s="70">
        <f>G8*F7</f>
        <v>0</v>
      </c>
      <c r="H7" s="68">
        <v>20000</v>
      </c>
      <c r="I7" s="22">
        <f>H7-E7</f>
        <v>20000</v>
      </c>
      <c r="J7" s="70">
        <f>J8*I7</f>
        <v>3913.0519848956192</v>
      </c>
      <c r="K7" s="68" t="s">
        <v>33</v>
      </c>
      <c r="L7" s="22">
        <f>K7-H7</f>
        <v>47656</v>
      </c>
      <c r="M7" s="70">
        <f>M8*L7</f>
        <v>-2449.1605893005726</v>
      </c>
      <c r="N7" s="68"/>
      <c r="O7" s="22">
        <f>N7-K7</f>
        <v>-67656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15" customHeight="1">
      <c r="A8" s="37" t="s">
        <v>29</v>
      </c>
      <c r="B8" s="34" t="str">
        <f>Реестр!O3</f>
        <v>-</v>
      </c>
      <c r="C8" s="30" t="s">
        <v>15</v>
      </c>
      <c r="D8" s="71"/>
      <c r="E8" s="71"/>
      <c r="F8" s="71"/>
      <c r="G8" s="72">
        <f>'0. ГИРА'!G8</f>
        <v>9.0000090000090002E-2</v>
      </c>
      <c r="H8" s="71"/>
      <c r="I8" s="71"/>
      <c r="J8" s="72">
        <f>'0. ГИРА'!J8</f>
        <v>0.19565259924478096</v>
      </c>
      <c r="K8" s="71"/>
      <c r="L8" s="71"/>
      <c r="M8" s="72">
        <f>'0. ГИРА'!M8</f>
        <v>-5.1392491801673927E-2</v>
      </c>
      <c r="N8" s="71"/>
      <c r="O8" s="71"/>
      <c r="P8" s="72">
        <f>'0. ГИРА'!P8</f>
        <v>0</v>
      </c>
      <c r="Q8" s="71"/>
      <c r="R8" s="71"/>
      <c r="S8" s="72" t="e">
        <f>'0. ГИРА'!S8</f>
        <v>#DIV/0!</v>
      </c>
      <c r="T8" s="71"/>
      <c r="U8" s="71"/>
      <c r="V8" s="72" t="e">
        <f>'0. ГИРА'!V8</f>
        <v>#DIV/0!</v>
      </c>
      <c r="W8" s="71"/>
      <c r="X8" s="71"/>
      <c r="Y8" s="72" t="e">
        <f>'0. ГИРА'!Y8</f>
        <v>#DIV/0!</v>
      </c>
      <c r="Z8" s="71"/>
      <c r="AA8" s="71"/>
      <c r="AB8" s="72" t="e">
        <f>'0. ГИРА'!AB8</f>
        <v>#DIV/0!</v>
      </c>
      <c r="AC8" s="71"/>
      <c r="AD8" s="71"/>
      <c r="AE8" s="72" t="e">
        <f>'0. ГИРА'!AE8</f>
        <v>#DIV/0!</v>
      </c>
      <c r="AF8" s="71"/>
      <c r="AG8" s="71"/>
      <c r="AH8" s="72" t="e">
        <f>'0. ГИРА'!AH8</f>
        <v>#DIV/0!</v>
      </c>
      <c r="AI8" s="71"/>
      <c r="AJ8" s="71"/>
      <c r="AK8" s="72" t="e">
        <f>'0. ГИРА'!AK8</f>
        <v>#DIV/0!</v>
      </c>
      <c r="AL8" s="71"/>
      <c r="AM8" s="71"/>
      <c r="AN8" s="72" t="e">
        <f>'0. ГИРА'!AN8</f>
        <v>#DIV/0!</v>
      </c>
      <c r="AO8" s="71"/>
      <c r="AP8" s="71"/>
      <c r="AQ8" s="72" t="e">
        <f>'0. ГИРА'!AQ8</f>
        <v>#DIV/0!</v>
      </c>
      <c r="AR8" s="71"/>
      <c r="AS8" s="71"/>
      <c r="AT8" s="72" t="e">
        <f>'0. ГИРА'!AT8</f>
        <v>#DIV/0!</v>
      </c>
      <c r="AU8" s="71"/>
      <c r="AV8" s="71"/>
      <c r="AW8" s="72" t="e">
        <f>'0. ГИРА'!AW8</f>
        <v>#DIV/0!</v>
      </c>
      <c r="AX8" s="71"/>
      <c r="AY8" s="71"/>
      <c r="AZ8" s="72" t="e">
        <f>'0. ГИРА'!AZ8</f>
        <v>#DIV/0!</v>
      </c>
      <c r="BA8" s="71"/>
      <c r="BB8" s="71"/>
      <c r="BC8" s="72" t="e">
        <f>'0. ГИРА'!BC8</f>
        <v>#DIV/0!</v>
      </c>
      <c r="BD8" s="71"/>
      <c r="BE8" s="71"/>
      <c r="BF8" s="72" t="e">
        <f>'0. ГИРА'!BF8</f>
        <v>#DIV/0!</v>
      </c>
      <c r="BG8" s="71"/>
      <c r="BH8" s="71"/>
      <c r="BI8" s="72" t="e">
        <f>'0. ГИРА'!BI8</f>
        <v>#DIV/0!</v>
      </c>
      <c r="BJ8" s="71"/>
      <c r="BK8" s="71"/>
      <c r="BL8" s="72" t="e">
        <f>'0. ГИРА'!BL8</f>
        <v>#DIV/0!</v>
      </c>
      <c r="BM8" s="71"/>
      <c r="BN8" s="71"/>
      <c r="BO8" s="72" t="e">
        <f>'0. ГИРА'!BO8</f>
        <v>#DIV/0!</v>
      </c>
      <c r="BP8" s="71"/>
      <c r="BQ8" s="71"/>
      <c r="BR8" s="72" t="e">
        <f>'0. ГИРА'!BR8</f>
        <v>#DIV/0!</v>
      </c>
      <c r="BS8" s="71"/>
      <c r="BT8" s="71"/>
      <c r="BU8" s="72" t="e">
        <f>'0. ГИРА'!BU8</f>
        <v>#DIV/0!</v>
      </c>
      <c r="BV8" s="71"/>
      <c r="BW8" s="71"/>
      <c r="BX8" s="72" t="e">
        <f>'0. ГИРА'!BX8</f>
        <v>#DIV/0!</v>
      </c>
      <c r="BY8" s="71"/>
      <c r="BZ8" s="71"/>
      <c r="CA8" s="72" t="e">
        <f>'0. ГИРА'!CA8</f>
        <v>#DIV/0!</v>
      </c>
      <c r="CB8" s="71"/>
      <c r="CC8" s="71"/>
      <c r="CD8" s="72">
        <f>'0. ГИРА'!CD8</f>
        <v>0</v>
      </c>
    </row>
    <row r="9" spans="1:82" ht="15" customHeight="1">
      <c r="A9" s="38" t="s">
        <v>30</v>
      </c>
      <c r="B9" s="33" t="str">
        <f>Реестр!P3</f>
        <v>-</v>
      </c>
      <c r="C9" s="20" t="s">
        <v>16</v>
      </c>
      <c r="D9" s="21"/>
      <c r="E9" s="21"/>
      <c r="F9" s="22">
        <f>E9-D9</f>
        <v>0</v>
      </c>
      <c r="G9" s="23" t="e">
        <f>G10*B3</f>
        <v>#VALUE!</v>
      </c>
      <c r="H9" s="21"/>
      <c r="I9" s="22">
        <f>H9-E9</f>
        <v>0</v>
      </c>
      <c r="J9" s="23">
        <f>J10*E3</f>
        <v>0</v>
      </c>
      <c r="K9" s="21">
        <v>1234</v>
      </c>
      <c r="L9" s="22">
        <f>K9-H9</f>
        <v>1234</v>
      </c>
      <c r="M9" s="23">
        <v>12</v>
      </c>
      <c r="N9" s="21"/>
      <c r="O9" s="22">
        <f>N9-K9</f>
        <v>-1234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15" customHeight="1">
      <c r="C10" s="20" t="s">
        <v>17</v>
      </c>
      <c r="D10" s="24"/>
      <c r="E10" s="24"/>
      <c r="F10" s="24"/>
      <c r="G10" s="25">
        <f>'0. ГИРА'!G10</f>
        <v>24.617909529182487</v>
      </c>
      <c r="H10" s="24"/>
      <c r="I10" s="24"/>
      <c r="J10" s="25">
        <f>'0. ГИРА'!J10</f>
        <v>24.617909529182487</v>
      </c>
      <c r="K10" s="24"/>
      <c r="L10" s="24"/>
      <c r="M10" s="25">
        <f>'0. ГИРА'!M10</f>
        <v>20.514924607652073</v>
      </c>
      <c r="N10" s="24"/>
      <c r="O10" s="24"/>
      <c r="P10" s="25">
        <f>'0. ГИРА'!P10</f>
        <v>0</v>
      </c>
      <c r="Q10" s="24"/>
      <c r="R10" s="24"/>
      <c r="S10" s="25">
        <f>'0. ГИРА'!S10</f>
        <v>0</v>
      </c>
      <c r="T10" s="24"/>
      <c r="U10" s="24"/>
      <c r="V10" s="25">
        <f>'0. ГИРА'!V10</f>
        <v>0</v>
      </c>
      <c r="W10" s="24"/>
      <c r="X10" s="24"/>
      <c r="Y10" s="25">
        <f>'0. ГИРА'!Y10</f>
        <v>0</v>
      </c>
      <c r="Z10" s="24"/>
      <c r="AA10" s="24"/>
      <c r="AB10" s="25">
        <f>'0. ГИРА'!AB10</f>
        <v>0</v>
      </c>
      <c r="AC10" s="24"/>
      <c r="AD10" s="24"/>
      <c r="AE10" s="25">
        <f>'0. ГИРА'!AE10</f>
        <v>0</v>
      </c>
      <c r="AF10" s="24"/>
      <c r="AG10" s="24"/>
      <c r="AH10" s="25">
        <f>'0. ГИРА'!AH10</f>
        <v>0</v>
      </c>
      <c r="AI10" s="24"/>
      <c r="AJ10" s="24"/>
      <c r="AK10" s="25">
        <f>'0. ГИРА'!AK10</f>
        <v>0</v>
      </c>
      <c r="AL10" s="24"/>
      <c r="AM10" s="24"/>
      <c r="AN10" s="25">
        <f>'0. ГИРА'!AN10</f>
        <v>0</v>
      </c>
      <c r="AO10" s="24"/>
      <c r="AP10" s="24"/>
      <c r="AQ10" s="25">
        <f>'0. ГИРА'!AQ10</f>
        <v>0</v>
      </c>
      <c r="AR10" s="24"/>
      <c r="AS10" s="24"/>
      <c r="AT10" s="25">
        <f>'0. ГИРА'!AT10</f>
        <v>0</v>
      </c>
      <c r="AU10" s="24"/>
      <c r="AV10" s="24"/>
      <c r="AW10" s="25">
        <f>'0. ГИРА'!AW10</f>
        <v>0</v>
      </c>
      <c r="AX10" s="24"/>
      <c r="AY10" s="24"/>
      <c r="AZ10" s="25">
        <f>'0. ГИРА'!AZ10</f>
        <v>0</v>
      </c>
      <c r="BA10" s="24"/>
      <c r="BB10" s="24"/>
      <c r="BC10" s="25">
        <f>'0. ГИРА'!BC10</f>
        <v>0</v>
      </c>
      <c r="BD10" s="24"/>
      <c r="BE10" s="24"/>
      <c r="BF10" s="25">
        <f>'0. ГИРА'!BF10</f>
        <v>0</v>
      </c>
      <c r="BG10" s="24"/>
      <c r="BH10" s="24"/>
      <c r="BI10" s="25">
        <f>'0. ГИРА'!BI10</f>
        <v>0</v>
      </c>
      <c r="BJ10" s="24"/>
      <c r="BK10" s="24"/>
      <c r="BL10" s="25">
        <f>'0. ГИРА'!BL10</f>
        <v>0</v>
      </c>
      <c r="BM10" s="24"/>
      <c r="BN10" s="24"/>
      <c r="BO10" s="25">
        <f>'0. ГИРА'!BO10</f>
        <v>0</v>
      </c>
      <c r="BP10" s="24"/>
      <c r="BQ10" s="24"/>
      <c r="BR10" s="25">
        <f>'0. ГИРА'!BR10</f>
        <v>0</v>
      </c>
      <c r="BS10" s="24"/>
      <c r="BT10" s="24"/>
      <c r="BU10" s="25">
        <f>'0. ГИРА'!BU10</f>
        <v>0</v>
      </c>
      <c r="BV10" s="24"/>
      <c r="BW10" s="24"/>
      <c r="BX10" s="25">
        <f>'0. ГИРА'!BX10</f>
        <v>0</v>
      </c>
      <c r="BY10" s="24"/>
      <c r="BZ10" s="24"/>
      <c r="CA10" s="25">
        <f>'0. ГИРА'!CA10</f>
        <v>0</v>
      </c>
      <c r="CB10" s="24"/>
      <c r="CC10" s="24"/>
      <c r="CD10" s="25">
        <f>'0. ГИРА'!CD10</f>
        <v>0</v>
      </c>
    </row>
    <row r="11" spans="1:82">
      <c r="A11" s="67" t="s">
        <v>31</v>
      </c>
      <c r="B11" t="s">
        <v>34</v>
      </c>
      <c r="C11" s="26" t="s">
        <v>18</v>
      </c>
      <c r="D11" s="21"/>
      <c r="E11" s="21"/>
      <c r="F11" s="22">
        <f>E11-D11</f>
        <v>0</v>
      </c>
      <c r="G11" s="23">
        <f>'0. ГИРА'!G12</f>
        <v>12142.857142857143</v>
      </c>
      <c r="H11" s="21"/>
      <c r="I11" s="22">
        <f>H11-G11</f>
        <v>-12142.857142857143</v>
      </c>
      <c r="J11" s="23">
        <f>'0. ГИРА'!J12</f>
        <v>174.37685916504262</v>
      </c>
      <c r="K11" s="21"/>
      <c r="L11" s="22">
        <f>K11-J11</f>
        <v>-174.37685916504262</v>
      </c>
      <c r="M11" s="23">
        <f>'0. ГИРА'!M12</f>
        <v>102.57462303826036</v>
      </c>
      <c r="N11" s="21"/>
      <c r="O11" s="22">
        <f>N11-M11</f>
        <v>-102.57462303826036</v>
      </c>
      <c r="P11" s="23">
        <f>'0. ГИРА'!P12</f>
        <v>0</v>
      </c>
      <c r="Q11" s="21"/>
      <c r="R11" s="22">
        <f>Q11-P11</f>
        <v>0</v>
      </c>
      <c r="S11" s="23">
        <f>'0. ГИРА'!S12</f>
        <v>0</v>
      </c>
      <c r="T11" s="21"/>
      <c r="U11" s="22">
        <f>T11-S11</f>
        <v>0</v>
      </c>
      <c r="V11" s="23">
        <f>'0. ГИРА'!V12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'0. ГИРА'!G12</f>
        <v>12142.857142857143</v>
      </c>
      <c r="H12" s="24"/>
      <c r="I12" s="24"/>
      <c r="J12" s="25">
        <f>'0. ГИРА'!J12</f>
        <v>174.37685916504262</v>
      </c>
      <c r="K12" s="24"/>
      <c r="L12" s="24"/>
      <c r="M12" s="25">
        <f>'0. ГИРА'!M12</f>
        <v>102.57462303826036</v>
      </c>
      <c r="N12" s="24"/>
      <c r="O12" s="24"/>
      <c r="P12" s="25">
        <f>'0. ГИРА'!P12</f>
        <v>0</v>
      </c>
      <c r="Q12" s="24"/>
      <c r="R12" s="24"/>
      <c r="S12" s="25">
        <f>'0. ГИРА'!S12</f>
        <v>0</v>
      </c>
      <c r="T12" s="24"/>
      <c r="U12" s="24"/>
      <c r="V12" s="25">
        <f>'0. ГИРА'!V12</f>
        <v>0</v>
      </c>
      <c r="W12" s="24"/>
      <c r="X12" s="24"/>
      <c r="Y12" s="25">
        <f>'0. ГИРА'!Y12</f>
        <v>0</v>
      </c>
      <c r="Z12" s="24"/>
      <c r="AA12" s="24"/>
      <c r="AB12" s="25">
        <f>'0. ГИРА'!AB12</f>
        <v>0</v>
      </c>
      <c r="AC12" s="24"/>
      <c r="AD12" s="24"/>
      <c r="AE12" s="25">
        <f>'0. ГИРА'!AE12</f>
        <v>0</v>
      </c>
      <c r="AF12" s="24"/>
      <c r="AG12" s="24"/>
      <c r="AH12" s="25">
        <f>'0. ГИРА'!AH12</f>
        <v>0</v>
      </c>
      <c r="AI12" s="24"/>
      <c r="AJ12" s="24"/>
      <c r="AK12" s="25">
        <f>'0. ГИРА'!AK12</f>
        <v>0</v>
      </c>
      <c r="AL12" s="24"/>
      <c r="AM12" s="24"/>
      <c r="AN12" s="25">
        <f>'0. ГИРА'!AN12</f>
        <v>0</v>
      </c>
      <c r="AO12" s="24"/>
      <c r="AP12" s="24"/>
      <c r="AQ12" s="25">
        <f>'0. ГИРА'!AQ12</f>
        <v>0</v>
      </c>
      <c r="AR12" s="24"/>
      <c r="AS12" s="24"/>
      <c r="AT12" s="25">
        <f>'0. ГИРА'!AT12</f>
        <v>0</v>
      </c>
      <c r="AU12" s="24"/>
      <c r="AV12" s="24"/>
      <c r="AW12" s="25">
        <f>'0. ГИРА'!AW12</f>
        <v>0</v>
      </c>
      <c r="AX12" s="24"/>
      <c r="AY12" s="24"/>
      <c r="AZ12" s="25">
        <f>'0. ГИРА'!AZ12</f>
        <v>0</v>
      </c>
      <c r="BA12" s="24"/>
      <c r="BB12" s="24"/>
      <c r="BC12" s="25">
        <f>'0. ГИРА'!BC12</f>
        <v>0</v>
      </c>
      <c r="BD12" s="24"/>
      <c r="BE12" s="24"/>
      <c r="BF12" s="25">
        <f>'0. ГИРА'!BF12</f>
        <v>0</v>
      </c>
      <c r="BG12" s="24"/>
      <c r="BH12" s="24"/>
      <c r="BI12" s="25">
        <f>'0. ГИРА'!BI12</f>
        <v>0</v>
      </c>
      <c r="BJ12" s="24"/>
      <c r="BK12" s="24"/>
      <c r="BL12" s="25">
        <f>'0. ГИРА'!BL12</f>
        <v>0</v>
      </c>
      <c r="BM12" s="24"/>
      <c r="BN12" s="24"/>
      <c r="BO12" s="25">
        <f>'0. ГИРА'!BO12</f>
        <v>0</v>
      </c>
      <c r="BP12" s="24"/>
      <c r="BQ12" s="24"/>
      <c r="BR12" s="25">
        <f>'0. ГИРА'!BR12</f>
        <v>0</v>
      </c>
      <c r="BS12" s="24"/>
      <c r="BT12" s="24"/>
      <c r="BU12" s="25">
        <f>'0. ГИРА'!BU12</f>
        <v>0</v>
      </c>
      <c r="BV12" s="24"/>
      <c r="BW12" s="24"/>
      <c r="BX12" s="25">
        <f>'0. ГИРА'!BX12</f>
        <v>0</v>
      </c>
      <c r="BY12" s="24"/>
      <c r="BZ12" s="24"/>
      <c r="CA12" s="25">
        <f>'0. ГИРА'!CA12</f>
        <v>0</v>
      </c>
      <c r="CB12" s="24"/>
      <c r="CC12" s="24"/>
      <c r="CD12" s="25">
        <f>'0. ГИРА'!CD12</f>
        <v>0</v>
      </c>
    </row>
    <row r="13" spans="1:82">
      <c r="D13" s="14"/>
      <c r="E13" s="14"/>
      <c r="F13" s="15"/>
      <c r="G13" s="16"/>
    </row>
    <row r="14" spans="1:82">
      <c r="G14" s="16"/>
    </row>
    <row r="15" spans="1:82">
      <c r="G15" s="16"/>
    </row>
    <row r="16" spans="1:82">
      <c r="G16" s="16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defaultColWidth="10" defaultRowHeight="15"/>
  <cols>
    <col min="1" max="1" width="13.140625" bestFit="1" customWidth="1"/>
    <col min="2" max="2" width="18.28515625" customWidth="1"/>
    <col min="3" max="3" width="25.42578125" style="1" customWidth="1"/>
    <col min="4" max="4" width="7.42578125" bestFit="1" customWidth="1"/>
    <col min="5" max="5" width="6.42578125" bestFit="1" customWidth="1"/>
    <col min="6" max="6" width="9.85546875" style="1" bestFit="1" customWidth="1"/>
    <col min="7" max="7" width="9.28515625" style="1" customWidth="1"/>
    <col min="8" max="8" width="6.42578125" bestFit="1" customWidth="1"/>
    <col min="9" max="9" width="9.85546875" style="1" bestFit="1" customWidth="1"/>
    <col min="10" max="10" width="12" style="1" customWidth="1"/>
    <col min="11" max="11" width="10.85546875" customWidth="1"/>
    <col min="12" max="12" width="9.85546875" style="1" bestFit="1" customWidth="1"/>
    <col min="13" max="13" width="8.28515625" style="1" customWidth="1"/>
    <col min="14" max="14" width="7.42578125" bestFit="1" customWidth="1"/>
    <col min="15" max="15" width="9.85546875" style="1" bestFit="1" customWidth="1"/>
    <col min="16" max="16" width="8.28515625" style="1" bestFit="1" customWidth="1"/>
    <col min="17" max="17" width="6.42578125" bestFit="1" customWidth="1"/>
    <col min="18" max="18" width="9.85546875" style="1" bestFit="1" customWidth="1"/>
    <col min="19" max="19" width="8.28515625" style="1" bestFit="1" customWidth="1"/>
    <col min="20" max="20" width="7" bestFit="1" customWidth="1"/>
    <col min="21" max="21" width="9.85546875" style="1" bestFit="1" customWidth="1"/>
    <col min="22" max="22" width="8.28515625" style="1" bestFit="1" customWidth="1"/>
    <col min="23" max="23" width="8" bestFit="1" customWidth="1"/>
    <col min="24" max="24" width="9.85546875" style="1" bestFit="1" customWidth="1"/>
    <col min="25" max="25" width="8.28515625" style="1" bestFit="1" customWidth="1"/>
    <col min="26" max="26" width="8" bestFit="1" customWidth="1"/>
    <col min="27" max="27" width="9.85546875" style="1" bestFit="1" customWidth="1"/>
    <col min="28" max="28" width="8.28515625" style="1" bestFit="1" customWidth="1"/>
    <col min="29" max="29" width="6.140625" bestFit="1" customWidth="1"/>
    <col min="30" max="30" width="9.85546875" style="1" bestFit="1" customWidth="1"/>
    <col min="31" max="31" width="8.28515625" style="1" bestFit="1" customWidth="1"/>
    <col min="32" max="32" width="7.140625" bestFit="1" customWidth="1"/>
    <col min="33" max="33" width="9.85546875" style="1" bestFit="1" customWidth="1"/>
    <col min="34" max="34" width="8.28515625" style="1" bestFit="1" customWidth="1"/>
    <col min="35" max="35" width="6.28515625" bestFit="1" customWidth="1"/>
    <col min="36" max="36" width="9.85546875" style="1" bestFit="1" customWidth="1"/>
    <col min="37" max="37" width="8.28515625" style="1" bestFit="1" customWidth="1"/>
    <col min="38" max="38" width="7.42578125" bestFit="1" customWidth="1"/>
    <col min="39" max="39" width="9.85546875" style="1" bestFit="1" customWidth="1"/>
    <col min="40" max="40" width="8.28515625" style="1" bestFit="1" customWidth="1"/>
    <col min="41" max="41" width="6.42578125" bestFit="1" customWidth="1"/>
    <col min="42" max="42" width="9.85546875" style="1" bestFit="1" customWidth="1"/>
    <col min="43" max="43" width="8.28515625" style="1" bestFit="1" customWidth="1"/>
    <col min="44" max="44" width="6.42578125" bestFit="1" customWidth="1"/>
    <col min="45" max="45" width="9.85546875" style="1" bestFit="1" customWidth="1"/>
    <col min="46" max="46" width="8.28515625" style="1" bestFit="1" customWidth="1"/>
    <col min="47" max="47" width="7.85546875" bestFit="1" customWidth="1"/>
    <col min="48" max="48" width="9.85546875" bestFit="1" customWidth="1"/>
    <col min="49" max="49" width="8.28515625" bestFit="1" customWidth="1"/>
    <col min="50" max="50" width="7.42578125" bestFit="1" customWidth="1"/>
    <col min="51" max="51" width="9.85546875" bestFit="1" customWidth="1"/>
    <col min="52" max="52" width="8.28515625" bestFit="1" customWidth="1"/>
    <col min="53" max="53" width="6.42578125" bestFit="1" customWidth="1"/>
    <col min="54" max="54" width="9.85546875" bestFit="1" customWidth="1"/>
    <col min="55" max="55" width="8.28515625" bestFit="1" customWidth="1"/>
    <col min="56" max="56" width="7" bestFit="1" customWidth="1"/>
    <col min="57" max="57" width="9.85546875" bestFit="1" customWidth="1"/>
    <col min="58" max="58" width="8.28515625" bestFit="1" customWidth="1"/>
    <col min="59" max="59" width="8" bestFit="1" customWidth="1"/>
    <col min="60" max="60" width="9.85546875" bestFit="1" customWidth="1"/>
    <col min="61" max="61" width="8.28515625" bestFit="1" customWidth="1"/>
    <col min="62" max="62" width="8" bestFit="1" customWidth="1"/>
    <col min="63" max="63" width="9.85546875" bestFit="1" customWidth="1"/>
    <col min="64" max="64" width="8.28515625" bestFit="1" customWidth="1"/>
    <col min="65" max="65" width="6.140625" bestFit="1" customWidth="1"/>
    <col min="66" max="66" width="9.85546875" bestFit="1" customWidth="1"/>
    <col min="67" max="67" width="8.28515625" bestFit="1" customWidth="1"/>
    <col min="68" max="68" width="7.140625" bestFit="1" customWidth="1"/>
    <col min="69" max="69" width="9.85546875" bestFit="1" customWidth="1"/>
    <col min="70" max="70" width="8.28515625" bestFit="1" customWidth="1"/>
    <col min="71" max="71" width="6.28515625" bestFit="1" customWidth="1"/>
    <col min="72" max="72" width="9.85546875" bestFit="1" customWidth="1"/>
    <col min="73" max="73" width="8.28515625" bestFit="1" customWidth="1"/>
    <col min="74" max="74" width="7.42578125" bestFit="1" customWidth="1"/>
    <col min="75" max="75" width="9.85546875" bestFit="1" customWidth="1"/>
    <col min="76" max="76" width="8.28515625" bestFit="1" customWidth="1"/>
    <col min="77" max="77" width="6.42578125" bestFit="1" customWidth="1"/>
    <col min="78" max="78" width="9.85546875" bestFit="1" customWidth="1"/>
    <col min="79" max="79" width="8.28515625" bestFit="1" customWidth="1"/>
    <col min="80" max="80" width="6.42578125" bestFit="1" customWidth="1"/>
    <col min="81" max="81" width="9.85546875" bestFit="1" customWidth="1"/>
    <col min="82" max="82" width="6.42578125" bestFit="1" customWidth="1"/>
  </cols>
  <sheetData>
    <row r="1" spans="1:82">
      <c r="A1" s="33" t="s">
        <v>9</v>
      </c>
      <c r="B1" s="33">
        <f>Реестр!D4</f>
        <v>333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Реестр!B4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>
      <c r="A3" s="33" t="s">
        <v>24</v>
      </c>
      <c r="B3" s="34" t="str">
        <f>Реестр!F4</f>
        <v>Нал</v>
      </c>
      <c r="C3" s="20" t="s">
        <v>8</v>
      </c>
      <c r="D3" s="21"/>
      <c r="E3" s="21"/>
      <c r="F3" s="22">
        <f>E3-D3</f>
        <v>0</v>
      </c>
      <c r="G3" s="23">
        <f>F3*G4</f>
        <v>0</v>
      </c>
      <c r="H3" s="21"/>
      <c r="I3" s="22">
        <f>H3-E3</f>
        <v>0</v>
      </c>
      <c r="J3" s="23">
        <f>I3*J4</f>
        <v>0</v>
      </c>
      <c r="K3" s="21">
        <v>345678</v>
      </c>
      <c r="L3" s="22">
        <f>K3-H3</f>
        <v>345678</v>
      </c>
      <c r="M3" s="23">
        <f>L3*M4</f>
        <v>3171.3577981651379</v>
      </c>
      <c r="N3" s="21"/>
      <c r="O3" s="22">
        <f>N3-K3</f>
        <v>-345678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>
      <c r="A4" s="33" t="s">
        <v>7</v>
      </c>
      <c r="B4" s="34">
        <f>Реестр!H4</f>
        <v>45.2</v>
      </c>
      <c r="C4" s="20" t="s">
        <v>10</v>
      </c>
      <c r="D4" s="24"/>
      <c r="E4" s="24"/>
      <c r="F4" s="24"/>
      <c r="G4" s="25">
        <f>'0. ГИРА'!G4</f>
        <v>4.5000045000045001E-2</v>
      </c>
      <c r="H4" s="24"/>
      <c r="I4" s="24"/>
      <c r="J4" s="25">
        <f>'0. ГИРА'!J4</f>
        <v>0.19565259924478096</v>
      </c>
      <c r="K4" s="24"/>
      <c r="L4" s="24"/>
      <c r="M4" s="25">
        <f>'0. ГИРА'!M4</f>
        <v>9.1743119266055051E-3</v>
      </c>
      <c r="N4" s="24"/>
      <c r="O4" s="24"/>
      <c r="P4" s="25">
        <f>'0. ГИРА'!P4</f>
        <v>0</v>
      </c>
      <c r="Q4" s="24"/>
      <c r="R4" s="24"/>
      <c r="S4" s="25" t="e">
        <f>'0. ГИРА'!S4</f>
        <v>#DIV/0!</v>
      </c>
      <c r="T4" s="24"/>
      <c r="U4" s="24"/>
      <c r="V4" s="25" t="e">
        <f>'0. ГИРА'!V4</f>
        <v>#DIV/0!</v>
      </c>
      <c r="W4" s="24"/>
      <c r="X4" s="24"/>
      <c r="Y4" s="25" t="e">
        <f>'0. ГИРА'!Y4</f>
        <v>#DIV/0!</v>
      </c>
      <c r="Z4" s="24"/>
      <c r="AA4" s="24"/>
      <c r="AB4" s="25" t="e">
        <f>'0. ГИРА'!AB4</f>
        <v>#DIV/0!</v>
      </c>
      <c r="AC4" s="24"/>
      <c r="AD4" s="24"/>
      <c r="AE4" s="25" t="e">
        <f>'0. ГИРА'!AE4</f>
        <v>#DIV/0!</v>
      </c>
      <c r="AF4" s="24"/>
      <c r="AG4" s="24"/>
      <c r="AH4" s="25" t="e">
        <f>'0. ГИРА'!AH4</f>
        <v>#DIV/0!</v>
      </c>
      <c r="AI4" s="24"/>
      <c r="AJ4" s="24"/>
      <c r="AK4" s="25" t="e">
        <f>'0. ГИРА'!AK4</f>
        <v>#DIV/0!</v>
      </c>
      <c r="AL4" s="24"/>
      <c r="AM4" s="24"/>
      <c r="AN4" s="25" t="e">
        <f>'0. ГИРА'!AN4</f>
        <v>#DIV/0!</v>
      </c>
      <c r="AO4" s="24"/>
      <c r="AP4" s="24"/>
      <c r="AQ4" s="25" t="e">
        <f>'0. ГИРА'!AQ4</f>
        <v>#DIV/0!</v>
      </c>
      <c r="AR4" s="24"/>
      <c r="AS4" s="24"/>
      <c r="AT4" s="25" t="e">
        <f>'0. ГИРА'!AT4</f>
        <v>#DIV/0!</v>
      </c>
      <c r="AU4" s="24"/>
      <c r="AV4" s="24"/>
      <c r="AW4" s="25" t="e">
        <f>'0. ГИРА'!AW4</f>
        <v>#DIV/0!</v>
      </c>
      <c r="AX4" s="24"/>
      <c r="AY4" s="24"/>
      <c r="AZ4" s="25" t="e">
        <f>'0. ГИРА'!AZ4</f>
        <v>#DIV/0!</v>
      </c>
      <c r="BA4" s="24"/>
      <c r="BB4" s="24"/>
      <c r="BC4" s="25" t="e">
        <f>'0. ГИРА'!BC4</f>
        <v>#DIV/0!</v>
      </c>
      <c r="BD4" s="24"/>
      <c r="BE4" s="24"/>
      <c r="BF4" s="25" t="e">
        <f>'0. ГИРА'!BF4</f>
        <v>#DIV/0!</v>
      </c>
      <c r="BG4" s="24"/>
      <c r="BH4" s="24"/>
      <c r="BI4" s="25" t="e">
        <f>'0. ГИРА'!BI4</f>
        <v>#DIV/0!</v>
      </c>
      <c r="BJ4" s="24"/>
      <c r="BK4" s="24"/>
      <c r="BL4" s="25" t="e">
        <f>'0. ГИРА'!BL4</f>
        <v>#DIV/0!</v>
      </c>
      <c r="BM4" s="24"/>
      <c r="BN4" s="24"/>
      <c r="BO4" s="25" t="e">
        <f>'0. ГИРА'!BO4</f>
        <v>#DIV/0!</v>
      </c>
      <c r="BP4" s="24"/>
      <c r="BQ4" s="24"/>
      <c r="BR4" s="25" t="e">
        <f>'0. ГИРА'!BR4</f>
        <v>#DIV/0!</v>
      </c>
      <c r="BS4" s="24"/>
      <c r="BT4" s="24"/>
      <c r="BU4" s="25" t="e">
        <f>'0. ГИРА'!BU4</f>
        <v>#DIV/0!</v>
      </c>
      <c r="BV4" s="24"/>
      <c r="BW4" s="24"/>
      <c r="BX4" s="25" t="e">
        <f>'0. ГИРА'!BX4</f>
        <v>#DIV/0!</v>
      </c>
      <c r="BY4" s="24"/>
      <c r="BZ4" s="24"/>
      <c r="CA4" s="25" t="e">
        <f>'0. ГИРА'!CA4</f>
        <v>#DIV/0!</v>
      </c>
      <c r="CB4" s="24"/>
      <c r="CC4" s="24"/>
      <c r="CD4" s="25">
        <f>'0. ГИРА'!CD4</f>
        <v>0</v>
      </c>
    </row>
    <row r="5" spans="1:82" ht="15" customHeight="1">
      <c r="A5" s="36"/>
      <c r="B5" s="36"/>
      <c r="C5" s="30" t="s">
        <v>12</v>
      </c>
      <c r="D5" s="21"/>
      <c r="E5" s="21"/>
      <c r="F5" s="22">
        <f>E5-D5</f>
        <v>0</v>
      </c>
      <c r="G5" s="23"/>
      <c r="H5" s="21"/>
      <c r="I5" s="22">
        <f>H5-E5</f>
        <v>0</v>
      </c>
      <c r="J5" s="23"/>
      <c r="K5" s="21">
        <v>579</v>
      </c>
      <c r="L5" s="22">
        <f>K5-H5</f>
        <v>579</v>
      </c>
      <c r="M5" s="23"/>
      <c r="N5" s="21"/>
      <c r="O5" s="22">
        <f>N5-K5</f>
        <v>-579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15" customHeight="1">
      <c r="A6" s="37" t="s">
        <v>26</v>
      </c>
      <c r="B6" s="34" t="str">
        <f>Реестр!M4</f>
        <v>-</v>
      </c>
      <c r="C6" s="30" t="s">
        <v>13</v>
      </c>
      <c r="D6" s="24"/>
      <c r="E6" s="24"/>
      <c r="F6" s="24"/>
      <c r="G6" s="25">
        <f>'0. ГИРА'!G6</f>
        <v>6.7500067500067498E-2</v>
      </c>
      <c r="H6" s="24"/>
      <c r="I6" s="24"/>
      <c r="J6" s="25">
        <f>'0. ГИРА'!J6</f>
        <v>0.14673944943358572</v>
      </c>
      <c r="K6" s="24"/>
      <c r="L6" s="24"/>
      <c r="M6" s="25">
        <f>'0. ГИРА'!M6</f>
        <v>-1.1069527173053609E-2</v>
      </c>
      <c r="N6" s="24"/>
      <c r="O6" s="24"/>
      <c r="P6" s="25">
        <f>'0. ГИРА'!P6</f>
        <v>0</v>
      </c>
      <c r="Q6" s="24"/>
      <c r="R6" s="24"/>
      <c r="S6" s="25" t="e">
        <f>'0. ГИРА'!S6</f>
        <v>#DIV/0!</v>
      </c>
      <c r="T6" s="24"/>
      <c r="U6" s="24"/>
      <c r="V6" s="25" t="e">
        <f>'0. ГИРА'!V6</f>
        <v>#DIV/0!</v>
      </c>
      <c r="W6" s="24"/>
      <c r="X6" s="24"/>
      <c r="Y6" s="25" t="e">
        <f>'0. ГИРА'!Y6</f>
        <v>#DIV/0!</v>
      </c>
      <c r="Z6" s="24"/>
      <c r="AA6" s="24"/>
      <c r="AB6" s="25" t="e">
        <f>'0. ГИРА'!AB6</f>
        <v>#DIV/0!</v>
      </c>
      <c r="AC6" s="24"/>
      <c r="AD6" s="24"/>
      <c r="AE6" s="25" t="e">
        <f>'0. ГИРА'!AE6</f>
        <v>#DIV/0!</v>
      </c>
      <c r="AF6" s="24"/>
      <c r="AG6" s="24"/>
      <c r="AH6" s="25" t="e">
        <f>'0. ГИРА'!AH6</f>
        <v>#DIV/0!</v>
      </c>
      <c r="AI6" s="24"/>
      <c r="AJ6" s="24"/>
      <c r="AK6" s="25" t="e">
        <f>'0. ГИРА'!AK6</f>
        <v>#DIV/0!</v>
      </c>
      <c r="AL6" s="24"/>
      <c r="AM6" s="24"/>
      <c r="AN6" s="25" t="e">
        <f>'0. ГИРА'!AN6</f>
        <v>#DIV/0!</v>
      </c>
      <c r="AO6" s="24"/>
      <c r="AP6" s="24"/>
      <c r="AQ6" s="25" t="e">
        <f>'0. ГИРА'!AQ6</f>
        <v>#DIV/0!</v>
      </c>
      <c r="AR6" s="24"/>
      <c r="AS6" s="24"/>
      <c r="AT6" s="25" t="e">
        <f>'0. ГИРА'!AT6</f>
        <v>#DIV/0!</v>
      </c>
      <c r="AU6" s="24"/>
      <c r="AV6" s="24"/>
      <c r="AW6" s="25" t="e">
        <f>'0. ГИРА'!AW6</f>
        <v>#DIV/0!</v>
      </c>
      <c r="AX6" s="24"/>
      <c r="AY6" s="24"/>
      <c r="AZ6" s="25" t="e">
        <f>'0. ГИРА'!AZ6</f>
        <v>#DIV/0!</v>
      </c>
      <c r="BA6" s="24"/>
      <c r="BB6" s="24"/>
      <c r="BC6" s="25" t="e">
        <f>'0. ГИРА'!BC6</f>
        <v>#DIV/0!</v>
      </c>
      <c r="BD6" s="24"/>
      <c r="BE6" s="24"/>
      <c r="BF6" s="25" t="e">
        <f>'0. ГИРА'!BF6</f>
        <v>#DIV/0!</v>
      </c>
      <c r="BG6" s="24"/>
      <c r="BH6" s="24"/>
      <c r="BI6" s="25" t="e">
        <f>'0. ГИРА'!BI6</f>
        <v>#DIV/0!</v>
      </c>
      <c r="BJ6" s="24"/>
      <c r="BK6" s="24"/>
      <c r="BL6" s="25" t="e">
        <f>'0. ГИРА'!BL6</f>
        <v>#DIV/0!</v>
      </c>
      <c r="BM6" s="24"/>
      <c r="BN6" s="24"/>
      <c r="BO6" s="25" t="e">
        <f>'0. ГИРА'!BO6</f>
        <v>#DIV/0!</v>
      </c>
      <c r="BP6" s="24"/>
      <c r="BQ6" s="24"/>
      <c r="BR6" s="25" t="e">
        <f>'0. ГИРА'!BR6</f>
        <v>#DIV/0!</v>
      </c>
      <c r="BS6" s="24"/>
      <c r="BT6" s="24"/>
      <c r="BU6" s="25" t="e">
        <f>'0. ГИРА'!BU6</f>
        <v>#DIV/0!</v>
      </c>
      <c r="BV6" s="24"/>
      <c r="BW6" s="24"/>
      <c r="BX6" s="25" t="e">
        <f>'0. ГИРА'!BX6</f>
        <v>#DIV/0!</v>
      </c>
      <c r="BY6" s="24"/>
      <c r="BZ6" s="24"/>
      <c r="CA6" s="25" t="e">
        <f>'0. ГИРА'!CA6</f>
        <v>#DIV/0!</v>
      </c>
      <c r="CB6" s="24"/>
      <c r="CC6" s="24"/>
      <c r="CD6" s="25">
        <f>'0. ГИРА'!CD6</f>
        <v>0</v>
      </c>
    </row>
    <row r="7" spans="1:82" ht="15" customHeight="1">
      <c r="A7" s="38" t="s">
        <v>27</v>
      </c>
      <c r="B7" s="33" t="str">
        <f>Реестр!N4</f>
        <v>-</v>
      </c>
      <c r="C7" s="30" t="s">
        <v>14</v>
      </c>
      <c r="D7" s="68"/>
      <c r="E7" s="68"/>
      <c r="F7" s="69">
        <f>E7-D7</f>
        <v>0</v>
      </c>
      <c r="G7" s="70">
        <f>G8*F7</f>
        <v>0</v>
      </c>
      <c r="H7" s="68"/>
      <c r="I7" s="22">
        <f>H7-E7</f>
        <v>0</v>
      </c>
      <c r="J7" s="70">
        <f>J8*I7</f>
        <v>0</v>
      </c>
      <c r="K7" s="68"/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15" customHeight="1">
      <c r="A8" s="37" t="s">
        <v>29</v>
      </c>
      <c r="B8" s="34" t="str">
        <f>Реестр!O4</f>
        <v>-</v>
      </c>
      <c r="C8" s="30" t="s">
        <v>15</v>
      </c>
      <c r="D8" s="71"/>
      <c r="E8" s="71"/>
      <c r="F8" s="71"/>
      <c r="G8" s="72">
        <f>'0. ГИРА'!G8</f>
        <v>9.0000090000090002E-2</v>
      </c>
      <c r="H8" s="71"/>
      <c r="I8" s="71"/>
      <c r="J8" s="72">
        <f>'0. ГИРА'!J8</f>
        <v>0.19565259924478096</v>
      </c>
      <c r="K8" s="71"/>
      <c r="L8" s="71"/>
      <c r="M8" s="72">
        <f>'0. ГИРА'!M8</f>
        <v>-5.1392491801673927E-2</v>
      </c>
      <c r="N8" s="71"/>
      <c r="O8" s="71"/>
      <c r="P8" s="72">
        <f>'0. ГИРА'!P8</f>
        <v>0</v>
      </c>
      <c r="Q8" s="71"/>
      <c r="R8" s="71"/>
      <c r="S8" s="72" t="e">
        <f>'0. ГИРА'!S8</f>
        <v>#DIV/0!</v>
      </c>
      <c r="T8" s="71"/>
      <c r="U8" s="71"/>
      <c r="V8" s="72" t="e">
        <f>'0. ГИРА'!V8</f>
        <v>#DIV/0!</v>
      </c>
      <c r="W8" s="71"/>
      <c r="X8" s="71"/>
      <c r="Y8" s="72" t="e">
        <f>'0. ГИРА'!Y8</f>
        <v>#DIV/0!</v>
      </c>
      <c r="Z8" s="71"/>
      <c r="AA8" s="71"/>
      <c r="AB8" s="72" t="e">
        <f>'0. ГИРА'!AB8</f>
        <v>#DIV/0!</v>
      </c>
      <c r="AC8" s="71"/>
      <c r="AD8" s="71"/>
      <c r="AE8" s="72" t="e">
        <f>'0. ГИРА'!AE8</f>
        <v>#DIV/0!</v>
      </c>
      <c r="AF8" s="71"/>
      <c r="AG8" s="71"/>
      <c r="AH8" s="72" t="e">
        <f>'0. ГИРА'!AH8</f>
        <v>#DIV/0!</v>
      </c>
      <c r="AI8" s="71"/>
      <c r="AJ8" s="71"/>
      <c r="AK8" s="72" t="e">
        <f>'0. ГИРА'!AK8</f>
        <v>#DIV/0!</v>
      </c>
      <c r="AL8" s="71"/>
      <c r="AM8" s="71"/>
      <c r="AN8" s="72" t="e">
        <f>'0. ГИРА'!AN8</f>
        <v>#DIV/0!</v>
      </c>
      <c r="AO8" s="71"/>
      <c r="AP8" s="71"/>
      <c r="AQ8" s="72" t="e">
        <f>'0. ГИРА'!AQ8</f>
        <v>#DIV/0!</v>
      </c>
      <c r="AR8" s="71"/>
      <c r="AS8" s="71"/>
      <c r="AT8" s="72" t="e">
        <f>'0. ГИРА'!AT8</f>
        <v>#DIV/0!</v>
      </c>
      <c r="AU8" s="71"/>
      <c r="AV8" s="71"/>
      <c r="AW8" s="72" t="e">
        <f>'0. ГИРА'!AW8</f>
        <v>#DIV/0!</v>
      </c>
      <c r="AX8" s="71"/>
      <c r="AY8" s="71"/>
      <c r="AZ8" s="72" t="e">
        <f>'0. ГИРА'!AZ8</f>
        <v>#DIV/0!</v>
      </c>
      <c r="BA8" s="71"/>
      <c r="BB8" s="71"/>
      <c r="BC8" s="72" t="e">
        <f>'0. ГИРА'!BC8</f>
        <v>#DIV/0!</v>
      </c>
      <c r="BD8" s="71"/>
      <c r="BE8" s="71"/>
      <c r="BF8" s="72" t="e">
        <f>'0. ГИРА'!BF8</f>
        <v>#DIV/0!</v>
      </c>
      <c r="BG8" s="71"/>
      <c r="BH8" s="71"/>
      <c r="BI8" s="72" t="e">
        <f>'0. ГИРА'!BI8</f>
        <v>#DIV/0!</v>
      </c>
      <c r="BJ8" s="71"/>
      <c r="BK8" s="71"/>
      <c r="BL8" s="72" t="e">
        <f>'0. ГИРА'!BL8</f>
        <v>#DIV/0!</v>
      </c>
      <c r="BM8" s="71"/>
      <c r="BN8" s="71"/>
      <c r="BO8" s="72" t="e">
        <f>'0. ГИРА'!BO8</f>
        <v>#DIV/0!</v>
      </c>
      <c r="BP8" s="71"/>
      <c r="BQ8" s="71"/>
      <c r="BR8" s="72" t="e">
        <f>'0. ГИРА'!BR8</f>
        <v>#DIV/0!</v>
      </c>
      <c r="BS8" s="71"/>
      <c r="BT8" s="71"/>
      <c r="BU8" s="72" t="e">
        <f>'0. ГИРА'!BU8</f>
        <v>#DIV/0!</v>
      </c>
      <c r="BV8" s="71"/>
      <c r="BW8" s="71"/>
      <c r="BX8" s="72" t="e">
        <f>'0. ГИРА'!BX8</f>
        <v>#DIV/0!</v>
      </c>
      <c r="BY8" s="71"/>
      <c r="BZ8" s="71"/>
      <c r="CA8" s="72" t="e">
        <f>'0. ГИРА'!CA8</f>
        <v>#DIV/0!</v>
      </c>
      <c r="CB8" s="71"/>
      <c r="CC8" s="71"/>
      <c r="CD8" s="72">
        <f>'0. ГИРА'!CD8</f>
        <v>0</v>
      </c>
    </row>
    <row r="9" spans="1:82" ht="15" customHeight="1">
      <c r="A9" s="38" t="s">
        <v>30</v>
      </c>
      <c r="B9" s="33" t="str">
        <f>Реестр!P4</f>
        <v>-</v>
      </c>
      <c r="C9" s="20" t="s">
        <v>16</v>
      </c>
      <c r="D9" s="21"/>
      <c r="E9" s="21"/>
      <c r="F9" s="22">
        <f>E9-D9</f>
        <v>0</v>
      </c>
      <c r="G9" s="23" t="e">
        <f>G10*B3</f>
        <v>#VALUE!</v>
      </c>
      <c r="H9" s="21"/>
      <c r="I9" s="22">
        <f>H9-E9</f>
        <v>0</v>
      </c>
      <c r="J9" s="23">
        <f>J10*E3</f>
        <v>0</v>
      </c>
      <c r="K9" s="21">
        <v>123</v>
      </c>
      <c r="L9" s="22">
        <f>K9-H9</f>
        <v>123</v>
      </c>
      <c r="M9" s="23">
        <v>12</v>
      </c>
      <c r="N9" s="21"/>
      <c r="O9" s="22">
        <f>N9-K9</f>
        <v>-123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15" customHeight="1">
      <c r="C10" s="20" t="s">
        <v>17</v>
      </c>
      <c r="D10" s="24"/>
      <c r="E10" s="24"/>
      <c r="F10" s="24"/>
      <c r="G10" s="25">
        <f>'0. ГИРА'!G10</f>
        <v>24.617909529182487</v>
      </c>
      <c r="H10" s="24"/>
      <c r="I10" s="24"/>
      <c r="J10" s="25">
        <f>'0. ГИРА'!J10</f>
        <v>24.617909529182487</v>
      </c>
      <c r="K10" s="24"/>
      <c r="L10" s="24"/>
      <c r="M10" s="25">
        <f>'0. ГИРА'!M10</f>
        <v>20.514924607652073</v>
      </c>
      <c r="N10" s="24"/>
      <c r="O10" s="24"/>
      <c r="P10" s="25">
        <f>'0. ГИРА'!P10</f>
        <v>0</v>
      </c>
      <c r="Q10" s="24"/>
      <c r="R10" s="24"/>
      <c r="S10" s="25">
        <f>'0. ГИРА'!S10</f>
        <v>0</v>
      </c>
      <c r="T10" s="24"/>
      <c r="U10" s="24"/>
      <c r="V10" s="25">
        <f>'0. ГИРА'!V10</f>
        <v>0</v>
      </c>
      <c r="W10" s="24"/>
      <c r="X10" s="24"/>
      <c r="Y10" s="25">
        <f>'0. ГИРА'!Y10</f>
        <v>0</v>
      </c>
      <c r="Z10" s="24"/>
      <c r="AA10" s="24"/>
      <c r="AB10" s="25">
        <f>'0. ГИРА'!AB10</f>
        <v>0</v>
      </c>
      <c r="AC10" s="24"/>
      <c r="AD10" s="24"/>
      <c r="AE10" s="25">
        <f>'0. ГИРА'!AE10</f>
        <v>0</v>
      </c>
      <c r="AF10" s="24"/>
      <c r="AG10" s="24"/>
      <c r="AH10" s="25">
        <f>'0. ГИРА'!AH10</f>
        <v>0</v>
      </c>
      <c r="AI10" s="24"/>
      <c r="AJ10" s="24"/>
      <c r="AK10" s="25">
        <f>'0. ГИРА'!AK10</f>
        <v>0</v>
      </c>
      <c r="AL10" s="24"/>
      <c r="AM10" s="24"/>
      <c r="AN10" s="25">
        <f>'0. ГИРА'!AN10</f>
        <v>0</v>
      </c>
      <c r="AO10" s="24"/>
      <c r="AP10" s="24"/>
      <c r="AQ10" s="25">
        <f>'0. ГИРА'!AQ10</f>
        <v>0</v>
      </c>
      <c r="AR10" s="24"/>
      <c r="AS10" s="24"/>
      <c r="AT10" s="25">
        <f>'0. ГИРА'!AT10</f>
        <v>0</v>
      </c>
      <c r="AU10" s="24"/>
      <c r="AV10" s="24"/>
      <c r="AW10" s="25">
        <f>'0. ГИРА'!AW10</f>
        <v>0</v>
      </c>
      <c r="AX10" s="24"/>
      <c r="AY10" s="24"/>
      <c r="AZ10" s="25">
        <f>'0. ГИРА'!AZ10</f>
        <v>0</v>
      </c>
      <c r="BA10" s="24"/>
      <c r="BB10" s="24"/>
      <c r="BC10" s="25">
        <f>'0. ГИРА'!BC10</f>
        <v>0</v>
      </c>
      <c r="BD10" s="24"/>
      <c r="BE10" s="24"/>
      <c r="BF10" s="25">
        <f>'0. ГИРА'!BF10</f>
        <v>0</v>
      </c>
      <c r="BG10" s="24"/>
      <c r="BH10" s="24"/>
      <c r="BI10" s="25">
        <f>'0. ГИРА'!BI10</f>
        <v>0</v>
      </c>
      <c r="BJ10" s="24"/>
      <c r="BK10" s="24"/>
      <c r="BL10" s="25">
        <f>'0. ГИРА'!BL10</f>
        <v>0</v>
      </c>
      <c r="BM10" s="24"/>
      <c r="BN10" s="24"/>
      <c r="BO10" s="25">
        <f>'0. ГИРА'!BO10</f>
        <v>0</v>
      </c>
      <c r="BP10" s="24"/>
      <c r="BQ10" s="24"/>
      <c r="BR10" s="25">
        <f>'0. ГИРА'!BR10</f>
        <v>0</v>
      </c>
      <c r="BS10" s="24"/>
      <c r="BT10" s="24"/>
      <c r="BU10" s="25">
        <f>'0. ГИРА'!BU10</f>
        <v>0</v>
      </c>
      <c r="BV10" s="24"/>
      <c r="BW10" s="24"/>
      <c r="BX10" s="25">
        <f>'0. ГИРА'!BX10</f>
        <v>0</v>
      </c>
      <c r="BY10" s="24"/>
      <c r="BZ10" s="24"/>
      <c r="CA10" s="25">
        <f>'0. ГИРА'!CA10</f>
        <v>0</v>
      </c>
      <c r="CB10" s="24"/>
      <c r="CC10" s="24"/>
      <c r="CD10" s="25">
        <f>'0. ГИРА'!CD10</f>
        <v>0</v>
      </c>
    </row>
    <row r="11" spans="1:82">
      <c r="A11" s="67" t="s">
        <v>31</v>
      </c>
      <c r="C11" s="26" t="s">
        <v>18</v>
      </c>
      <c r="D11" s="21"/>
      <c r="E11" s="21"/>
      <c r="F11" s="22">
        <f>E11-D11</f>
        <v>0</v>
      </c>
      <c r="G11" s="23"/>
      <c r="H11" s="21"/>
      <c r="I11" s="22">
        <f>H11-E11</f>
        <v>0</v>
      </c>
      <c r="J11" s="23">
        <f>J12*E3</f>
        <v>0</v>
      </c>
      <c r="K11" s="21"/>
      <c r="L11" s="22">
        <f>K11-H11</f>
        <v>0</v>
      </c>
      <c r="M11" s="23">
        <f>M12*H3</f>
        <v>0</v>
      </c>
      <c r="N11" s="21"/>
      <c r="O11" s="22">
        <f>N11-K11</f>
        <v>0</v>
      </c>
      <c r="P11" s="23">
        <f>P12*K3</f>
        <v>0</v>
      </c>
      <c r="Q11" s="21"/>
      <c r="R11" s="22">
        <f>Q11-N11</f>
        <v>0</v>
      </c>
      <c r="S11" s="23">
        <f>S12*N3</f>
        <v>0</v>
      </c>
      <c r="T11" s="21"/>
      <c r="U11" s="22">
        <f>T11-Q11</f>
        <v>0</v>
      </c>
      <c r="V11" s="23">
        <f>V12*Q3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'0. ГИРА'!G12</f>
        <v>12142.857142857143</v>
      </c>
      <c r="H12" s="24"/>
      <c r="I12" s="24"/>
      <c r="J12" s="25">
        <f>'0. ГИРА'!J12</f>
        <v>174.37685916504262</v>
      </c>
      <c r="K12" s="24"/>
      <c r="L12" s="24"/>
      <c r="M12" s="25">
        <f>'0. ГИРА'!M12</f>
        <v>102.57462303826036</v>
      </c>
      <c r="N12" s="24"/>
      <c r="O12" s="24"/>
      <c r="P12" s="25">
        <f>'0. ГИРА'!P12</f>
        <v>0</v>
      </c>
      <c r="Q12" s="24"/>
      <c r="R12" s="24"/>
      <c r="S12" s="25">
        <f>'0. ГИРА'!S12</f>
        <v>0</v>
      </c>
      <c r="T12" s="24"/>
      <c r="U12" s="24"/>
      <c r="V12" s="25">
        <f>'0. ГИРА'!V12</f>
        <v>0</v>
      </c>
      <c r="W12" s="24"/>
      <c r="X12" s="24"/>
      <c r="Y12" s="25">
        <f>'0. ГИРА'!Y12</f>
        <v>0</v>
      </c>
      <c r="Z12" s="24"/>
      <c r="AA12" s="24"/>
      <c r="AB12" s="25">
        <f>'0. ГИРА'!AB12</f>
        <v>0</v>
      </c>
      <c r="AC12" s="24"/>
      <c r="AD12" s="24"/>
      <c r="AE12" s="25">
        <f>'0. ГИРА'!AE12</f>
        <v>0</v>
      </c>
      <c r="AF12" s="24"/>
      <c r="AG12" s="24"/>
      <c r="AH12" s="25">
        <f>'0. ГИРА'!AH12</f>
        <v>0</v>
      </c>
      <c r="AI12" s="24"/>
      <c r="AJ12" s="24"/>
      <c r="AK12" s="25">
        <f>'0. ГИРА'!AK12</f>
        <v>0</v>
      </c>
      <c r="AL12" s="24"/>
      <c r="AM12" s="24"/>
      <c r="AN12" s="25">
        <f>'0. ГИРА'!AN12</f>
        <v>0</v>
      </c>
      <c r="AO12" s="24"/>
      <c r="AP12" s="24"/>
      <c r="AQ12" s="25">
        <f>'0. ГИРА'!AQ12</f>
        <v>0</v>
      </c>
      <c r="AR12" s="24"/>
      <c r="AS12" s="24"/>
      <c r="AT12" s="25">
        <f>'0. ГИРА'!AT12</f>
        <v>0</v>
      </c>
      <c r="AU12" s="24"/>
      <c r="AV12" s="24"/>
      <c r="AW12" s="25">
        <f>'0. ГИРА'!AW12</f>
        <v>0</v>
      </c>
      <c r="AX12" s="24"/>
      <c r="AY12" s="24"/>
      <c r="AZ12" s="25">
        <f>'0. ГИРА'!AZ12</f>
        <v>0</v>
      </c>
      <c r="BA12" s="24"/>
      <c r="BB12" s="24"/>
      <c r="BC12" s="25">
        <f>'0. ГИРА'!BC12</f>
        <v>0</v>
      </c>
      <c r="BD12" s="24"/>
      <c r="BE12" s="24"/>
      <c r="BF12" s="25">
        <f>'0. ГИРА'!BF12</f>
        <v>0</v>
      </c>
      <c r="BG12" s="24"/>
      <c r="BH12" s="24"/>
      <c r="BI12" s="25">
        <f>'0. ГИРА'!BI12</f>
        <v>0</v>
      </c>
      <c r="BJ12" s="24"/>
      <c r="BK12" s="24"/>
      <c r="BL12" s="25">
        <f>'0. ГИРА'!BL12</f>
        <v>0</v>
      </c>
      <c r="BM12" s="24"/>
      <c r="BN12" s="24"/>
      <c r="BO12" s="25">
        <f>'0. ГИРА'!BO12</f>
        <v>0</v>
      </c>
      <c r="BP12" s="24"/>
      <c r="BQ12" s="24"/>
      <c r="BR12" s="25">
        <f>'0. ГИРА'!BR12</f>
        <v>0</v>
      </c>
      <c r="BS12" s="24"/>
      <c r="BT12" s="24"/>
      <c r="BU12" s="25">
        <f>'0. ГИРА'!BU12</f>
        <v>0</v>
      </c>
      <c r="BV12" s="24"/>
      <c r="BW12" s="24"/>
      <c r="BX12" s="25">
        <f>'0. ГИРА'!BX12</f>
        <v>0</v>
      </c>
      <c r="BY12" s="24"/>
      <c r="BZ12" s="24"/>
      <c r="CA12" s="25">
        <f>'0. ГИРА'!CA12</f>
        <v>0</v>
      </c>
      <c r="CB12" s="24"/>
      <c r="CC12" s="24"/>
      <c r="CD12" s="25">
        <f>'0. ГИРА'!CD12</f>
        <v>0</v>
      </c>
    </row>
    <row r="13" spans="1:82">
      <c r="D13" s="14"/>
      <c r="E13" s="14"/>
      <c r="F13" s="15"/>
      <c r="G13" s="16"/>
    </row>
    <row r="14" spans="1:82">
      <c r="G14" s="16"/>
    </row>
    <row r="15" spans="1:82">
      <c r="G15" s="16"/>
    </row>
    <row r="16" spans="1:82">
      <c r="G16" s="16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8" sqref="G18"/>
    </sheetView>
  </sheetViews>
  <sheetFormatPr defaultColWidth="10" defaultRowHeight="15"/>
  <cols>
    <col min="1" max="1" width="13.140625" bestFit="1" customWidth="1"/>
    <col min="2" max="2" width="17.7109375" customWidth="1"/>
    <col min="3" max="3" width="25.42578125" style="1" customWidth="1"/>
    <col min="4" max="4" width="7.42578125" bestFit="1" customWidth="1"/>
    <col min="5" max="5" width="10" customWidth="1"/>
    <col min="6" max="6" width="9.85546875" style="1" bestFit="1" customWidth="1"/>
    <col min="7" max="7" width="9.28515625" style="1" customWidth="1"/>
    <col min="8" max="8" width="9.28515625" customWidth="1"/>
    <col min="9" max="9" width="9.85546875" style="1" bestFit="1" customWidth="1"/>
    <col min="10" max="10" width="6.42578125" style="1" bestFit="1" customWidth="1"/>
    <col min="11" max="11" width="7.85546875" bestFit="1" customWidth="1"/>
    <col min="12" max="12" width="9.85546875" style="1" bestFit="1" customWidth="1"/>
    <col min="13" max="13" width="8.28515625" style="1" customWidth="1"/>
    <col min="14" max="14" width="7.42578125" bestFit="1" customWidth="1"/>
    <col min="15" max="15" width="9.85546875" style="1" bestFit="1" customWidth="1"/>
    <col min="16" max="16" width="8.28515625" style="1" bestFit="1" customWidth="1"/>
    <col min="17" max="17" width="6.42578125" bestFit="1" customWidth="1"/>
    <col min="18" max="18" width="9.85546875" style="1" bestFit="1" customWidth="1"/>
    <col min="19" max="19" width="8.28515625" style="1" bestFit="1" customWidth="1"/>
    <col min="20" max="20" width="7" bestFit="1" customWidth="1"/>
    <col min="21" max="21" width="9.85546875" style="1" bestFit="1" customWidth="1"/>
    <col min="22" max="22" width="8.28515625" style="1" bestFit="1" customWidth="1"/>
    <col min="23" max="23" width="8" bestFit="1" customWidth="1"/>
    <col min="24" max="24" width="9.85546875" style="1" bestFit="1" customWidth="1"/>
    <col min="25" max="25" width="8.28515625" style="1" bestFit="1" customWidth="1"/>
    <col min="26" max="26" width="8" bestFit="1" customWidth="1"/>
    <col min="27" max="27" width="9.85546875" style="1" bestFit="1" customWidth="1"/>
    <col min="28" max="28" width="8.28515625" style="1" bestFit="1" customWidth="1"/>
    <col min="29" max="29" width="6.140625" bestFit="1" customWidth="1"/>
    <col min="30" max="30" width="9.85546875" style="1" bestFit="1" customWidth="1"/>
    <col min="31" max="31" width="8.28515625" style="1" bestFit="1" customWidth="1"/>
    <col min="32" max="32" width="7.140625" bestFit="1" customWidth="1"/>
    <col min="33" max="33" width="9.85546875" style="1" bestFit="1" customWidth="1"/>
    <col min="34" max="34" width="8.28515625" style="1" bestFit="1" customWidth="1"/>
    <col min="35" max="35" width="6.28515625" bestFit="1" customWidth="1"/>
    <col min="36" max="36" width="9.85546875" style="1" bestFit="1" customWidth="1"/>
    <col min="37" max="37" width="8.28515625" style="1" bestFit="1" customWidth="1"/>
    <col min="38" max="38" width="7.42578125" bestFit="1" customWidth="1"/>
    <col min="39" max="39" width="9.85546875" style="1" bestFit="1" customWidth="1"/>
    <col min="40" max="40" width="8.28515625" style="1" bestFit="1" customWidth="1"/>
    <col min="41" max="41" width="6.42578125" bestFit="1" customWidth="1"/>
    <col min="42" max="42" width="9.85546875" style="1" bestFit="1" customWidth="1"/>
    <col min="43" max="43" width="8.28515625" style="1" bestFit="1" customWidth="1"/>
    <col min="44" max="44" width="6.42578125" bestFit="1" customWidth="1"/>
    <col min="45" max="45" width="9.85546875" style="1" bestFit="1" customWidth="1"/>
    <col min="46" max="46" width="8.28515625" style="1" bestFit="1" customWidth="1"/>
    <col min="47" max="47" width="7.85546875" bestFit="1" customWidth="1"/>
    <col min="48" max="48" width="9.85546875" bestFit="1" customWidth="1"/>
    <col min="49" max="49" width="8.28515625" bestFit="1" customWidth="1"/>
    <col min="50" max="50" width="7.42578125" bestFit="1" customWidth="1"/>
    <col min="51" max="51" width="9.85546875" bestFit="1" customWidth="1"/>
    <col min="52" max="52" width="8.28515625" bestFit="1" customWidth="1"/>
    <col min="53" max="53" width="6.42578125" bestFit="1" customWidth="1"/>
    <col min="54" max="54" width="9.85546875" bestFit="1" customWidth="1"/>
    <col min="55" max="55" width="8.28515625" bestFit="1" customWidth="1"/>
    <col min="56" max="56" width="7" bestFit="1" customWidth="1"/>
    <col min="57" max="57" width="9.85546875" bestFit="1" customWidth="1"/>
    <col min="58" max="58" width="8.28515625" bestFit="1" customWidth="1"/>
    <col min="59" max="59" width="8" bestFit="1" customWidth="1"/>
    <col min="60" max="60" width="9.85546875" bestFit="1" customWidth="1"/>
    <col min="61" max="61" width="8.28515625" bestFit="1" customWidth="1"/>
    <col min="62" max="62" width="8" bestFit="1" customWidth="1"/>
    <col min="63" max="63" width="9.85546875" bestFit="1" customWidth="1"/>
    <col min="64" max="64" width="8.28515625" bestFit="1" customWidth="1"/>
    <col min="65" max="65" width="6.140625" bestFit="1" customWidth="1"/>
    <col min="66" max="66" width="9.85546875" bestFit="1" customWidth="1"/>
    <col min="67" max="67" width="8.28515625" bestFit="1" customWidth="1"/>
    <col min="68" max="68" width="7.140625" bestFit="1" customWidth="1"/>
    <col min="69" max="69" width="9.85546875" bestFit="1" customWidth="1"/>
    <col min="70" max="70" width="8.28515625" bestFit="1" customWidth="1"/>
    <col min="71" max="71" width="6.28515625" bestFit="1" customWidth="1"/>
    <col min="72" max="72" width="9.85546875" bestFit="1" customWidth="1"/>
    <col min="73" max="73" width="8.28515625" bestFit="1" customWidth="1"/>
    <col min="74" max="74" width="7.42578125" bestFit="1" customWidth="1"/>
    <col min="75" max="75" width="9.85546875" bestFit="1" customWidth="1"/>
    <col min="76" max="76" width="8.28515625" bestFit="1" customWidth="1"/>
    <col min="77" max="77" width="6.42578125" bestFit="1" customWidth="1"/>
    <col min="78" max="78" width="9.85546875" bestFit="1" customWidth="1"/>
    <col min="79" max="79" width="8.28515625" bestFit="1" customWidth="1"/>
    <col min="80" max="80" width="6.42578125" bestFit="1" customWidth="1"/>
    <col min="81" max="81" width="9.85546875" bestFit="1" customWidth="1"/>
    <col min="82" max="82" width="6.42578125" bestFit="1" customWidth="1"/>
  </cols>
  <sheetData>
    <row r="1" spans="1:82">
      <c r="A1" s="33" t="s">
        <v>9</v>
      </c>
      <c r="B1" s="33">
        <f>Реестр!D5</f>
        <v>555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Реестр!B5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>
      <c r="A3" s="33" t="s">
        <v>24</v>
      </c>
      <c r="B3" s="34" t="str">
        <f>Реестр!F5</f>
        <v>Мясоо</v>
      </c>
      <c r="C3" s="20" t="s">
        <v>8</v>
      </c>
      <c r="D3" s="21"/>
      <c r="E3" s="21"/>
      <c r="F3" s="22">
        <f>E3-D3</f>
        <v>0</v>
      </c>
      <c r="G3" s="23">
        <f>F3*G4</f>
        <v>0</v>
      </c>
      <c r="H3" s="21"/>
      <c r="I3" s="22">
        <f>H3-E3</f>
        <v>0</v>
      </c>
      <c r="J3" s="23">
        <f>I3*J4</f>
        <v>0</v>
      </c>
      <c r="K3" s="21"/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>
      <c r="A4" s="33" t="s">
        <v>7</v>
      </c>
      <c r="B4" s="34">
        <f>Реестр!H5</f>
        <v>43.3</v>
      </c>
      <c r="C4" s="20" t="s">
        <v>10</v>
      </c>
      <c r="D4" s="24"/>
      <c r="E4" s="24"/>
      <c r="F4" s="24"/>
      <c r="G4" s="25">
        <f>'0. ГИРА'!G4</f>
        <v>4.5000045000045001E-2</v>
      </c>
      <c r="H4" s="24"/>
      <c r="I4" s="24"/>
      <c r="J4" s="25">
        <f>'0. ГИРА'!J4</f>
        <v>0.19565259924478096</v>
      </c>
      <c r="K4" s="24"/>
      <c r="L4" s="24"/>
      <c r="M4" s="25">
        <f>'0. ГИРА'!M4</f>
        <v>9.1743119266055051E-3</v>
      </c>
      <c r="N4" s="24"/>
      <c r="O4" s="24"/>
      <c r="P4" s="25">
        <f>'0. ГИРА'!P4</f>
        <v>0</v>
      </c>
      <c r="Q4" s="24"/>
      <c r="R4" s="24"/>
      <c r="S4" s="25" t="e">
        <f>'0. ГИРА'!S4</f>
        <v>#DIV/0!</v>
      </c>
      <c r="T4" s="24"/>
      <c r="U4" s="24"/>
      <c r="V4" s="25" t="e">
        <f>'0. ГИРА'!V4</f>
        <v>#DIV/0!</v>
      </c>
      <c r="W4" s="24"/>
      <c r="X4" s="24"/>
      <c r="Y4" s="25" t="e">
        <f>'0. ГИРА'!Y4</f>
        <v>#DIV/0!</v>
      </c>
      <c r="Z4" s="24"/>
      <c r="AA4" s="24"/>
      <c r="AB4" s="25" t="e">
        <f>'0. ГИРА'!AB4</f>
        <v>#DIV/0!</v>
      </c>
      <c r="AC4" s="24"/>
      <c r="AD4" s="24"/>
      <c r="AE4" s="25" t="e">
        <f>'0. ГИРА'!AE4</f>
        <v>#DIV/0!</v>
      </c>
      <c r="AF4" s="24"/>
      <c r="AG4" s="24"/>
      <c r="AH4" s="25" t="e">
        <f>'0. ГИРА'!AH4</f>
        <v>#DIV/0!</v>
      </c>
      <c r="AI4" s="24"/>
      <c r="AJ4" s="24"/>
      <c r="AK4" s="25" t="e">
        <f>'0. ГИРА'!AK4</f>
        <v>#DIV/0!</v>
      </c>
      <c r="AL4" s="24"/>
      <c r="AM4" s="24"/>
      <c r="AN4" s="25" t="e">
        <f>'0. ГИРА'!AN4</f>
        <v>#DIV/0!</v>
      </c>
      <c r="AO4" s="24"/>
      <c r="AP4" s="24"/>
      <c r="AQ4" s="25" t="e">
        <f>'0. ГИРА'!AQ4</f>
        <v>#DIV/0!</v>
      </c>
      <c r="AR4" s="24"/>
      <c r="AS4" s="24"/>
      <c r="AT4" s="25" t="e">
        <f>'0. ГИРА'!AT4</f>
        <v>#DIV/0!</v>
      </c>
      <c r="AU4" s="24"/>
      <c r="AV4" s="24"/>
      <c r="AW4" s="25" t="e">
        <f>'0. ГИРА'!AW4</f>
        <v>#DIV/0!</v>
      </c>
      <c r="AX4" s="24"/>
      <c r="AY4" s="24"/>
      <c r="AZ4" s="25" t="e">
        <f>'0. ГИРА'!AZ4</f>
        <v>#DIV/0!</v>
      </c>
      <c r="BA4" s="24"/>
      <c r="BB4" s="24"/>
      <c r="BC4" s="25" t="e">
        <f>'0. ГИРА'!BC4</f>
        <v>#DIV/0!</v>
      </c>
      <c r="BD4" s="24"/>
      <c r="BE4" s="24"/>
      <c r="BF4" s="25" t="e">
        <f>'0. ГИРА'!BF4</f>
        <v>#DIV/0!</v>
      </c>
      <c r="BG4" s="24"/>
      <c r="BH4" s="24"/>
      <c r="BI4" s="25" t="e">
        <f>'0. ГИРА'!BI4</f>
        <v>#DIV/0!</v>
      </c>
      <c r="BJ4" s="24"/>
      <c r="BK4" s="24"/>
      <c r="BL4" s="25" t="e">
        <f>'0. ГИРА'!BL4</f>
        <v>#DIV/0!</v>
      </c>
      <c r="BM4" s="24"/>
      <c r="BN4" s="24"/>
      <c r="BO4" s="25" t="e">
        <f>'0. ГИРА'!BO4</f>
        <v>#DIV/0!</v>
      </c>
      <c r="BP4" s="24"/>
      <c r="BQ4" s="24"/>
      <c r="BR4" s="25" t="e">
        <f>'0. ГИРА'!BR4</f>
        <v>#DIV/0!</v>
      </c>
      <c r="BS4" s="24"/>
      <c r="BT4" s="24"/>
      <c r="BU4" s="25" t="e">
        <f>'0. ГИРА'!BU4</f>
        <v>#DIV/0!</v>
      </c>
      <c r="BV4" s="24"/>
      <c r="BW4" s="24"/>
      <c r="BX4" s="25" t="e">
        <f>'0. ГИРА'!BX4</f>
        <v>#DIV/0!</v>
      </c>
      <c r="BY4" s="24"/>
      <c r="BZ4" s="24"/>
      <c r="CA4" s="25" t="e">
        <f>'0. ГИРА'!CA4</f>
        <v>#DIV/0!</v>
      </c>
      <c r="CB4" s="24"/>
      <c r="CC4" s="24"/>
      <c r="CD4" s="25">
        <f>'0. ГИРА'!CD4</f>
        <v>0</v>
      </c>
    </row>
    <row r="5" spans="1:82" ht="15" customHeight="1">
      <c r="A5" s="36"/>
      <c r="B5" s="36"/>
      <c r="C5" s="30" t="s">
        <v>12</v>
      </c>
      <c r="D5" s="21"/>
      <c r="E5" s="21"/>
      <c r="F5" s="22">
        <f>E5-D5</f>
        <v>0</v>
      </c>
      <c r="G5" s="23"/>
      <c r="H5" s="21"/>
      <c r="I5" s="22">
        <f>H5-E5</f>
        <v>0</v>
      </c>
      <c r="J5" s="23"/>
      <c r="K5" s="21"/>
      <c r="L5" s="22">
        <f>K5-H5</f>
        <v>0</v>
      </c>
      <c r="M5" s="23"/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15" customHeight="1">
      <c r="A6" s="37" t="s">
        <v>26</v>
      </c>
      <c r="B6" s="34" t="str">
        <f>Реестр!M5</f>
        <v>-</v>
      </c>
      <c r="C6" s="30" t="s">
        <v>13</v>
      </c>
      <c r="D6" s="24"/>
      <c r="E6" s="24"/>
      <c r="F6" s="24"/>
      <c r="G6" s="25">
        <f>'0. ГИРА'!G6</f>
        <v>6.7500067500067498E-2</v>
      </c>
      <c r="H6" s="24"/>
      <c r="I6" s="24"/>
      <c r="J6" s="25">
        <f>'0. ГИРА'!J6</f>
        <v>0.14673944943358572</v>
      </c>
      <c r="K6" s="24"/>
      <c r="L6" s="24"/>
      <c r="M6" s="25">
        <f>'0. ГИРА'!M6</f>
        <v>-1.1069527173053609E-2</v>
      </c>
      <c r="N6" s="24"/>
      <c r="O6" s="24"/>
      <c r="P6" s="25">
        <f>'0. ГИРА'!P6</f>
        <v>0</v>
      </c>
      <c r="Q6" s="24"/>
      <c r="R6" s="24"/>
      <c r="S6" s="25" t="e">
        <f>'0. ГИРА'!S6</f>
        <v>#DIV/0!</v>
      </c>
      <c r="T6" s="24"/>
      <c r="U6" s="24"/>
      <c r="V6" s="25" t="e">
        <f>'0. ГИРА'!V6</f>
        <v>#DIV/0!</v>
      </c>
      <c r="W6" s="24"/>
      <c r="X6" s="24"/>
      <c r="Y6" s="25" t="e">
        <f>'0. ГИРА'!Y6</f>
        <v>#DIV/0!</v>
      </c>
      <c r="Z6" s="24"/>
      <c r="AA6" s="24"/>
      <c r="AB6" s="25" t="e">
        <f>'0. ГИРА'!AB6</f>
        <v>#DIV/0!</v>
      </c>
      <c r="AC6" s="24"/>
      <c r="AD6" s="24"/>
      <c r="AE6" s="25" t="e">
        <f>'0. ГИРА'!AE6</f>
        <v>#DIV/0!</v>
      </c>
      <c r="AF6" s="24"/>
      <c r="AG6" s="24"/>
      <c r="AH6" s="25" t="e">
        <f>'0. ГИРА'!AH6</f>
        <v>#DIV/0!</v>
      </c>
      <c r="AI6" s="24"/>
      <c r="AJ6" s="24"/>
      <c r="AK6" s="25" t="e">
        <f>'0. ГИРА'!AK6</f>
        <v>#DIV/0!</v>
      </c>
      <c r="AL6" s="24"/>
      <c r="AM6" s="24"/>
      <c r="AN6" s="25" t="e">
        <f>'0. ГИРА'!AN6</f>
        <v>#DIV/0!</v>
      </c>
      <c r="AO6" s="24"/>
      <c r="AP6" s="24"/>
      <c r="AQ6" s="25" t="e">
        <f>'0. ГИРА'!AQ6</f>
        <v>#DIV/0!</v>
      </c>
      <c r="AR6" s="24"/>
      <c r="AS6" s="24"/>
      <c r="AT6" s="25" t="e">
        <f>'0. ГИРА'!AT6</f>
        <v>#DIV/0!</v>
      </c>
      <c r="AU6" s="24"/>
      <c r="AV6" s="24"/>
      <c r="AW6" s="25" t="e">
        <f>'0. ГИРА'!AW6</f>
        <v>#DIV/0!</v>
      </c>
      <c r="AX6" s="24"/>
      <c r="AY6" s="24"/>
      <c r="AZ6" s="25" t="e">
        <f>'0. ГИРА'!AZ6</f>
        <v>#DIV/0!</v>
      </c>
      <c r="BA6" s="24"/>
      <c r="BB6" s="24"/>
      <c r="BC6" s="25" t="e">
        <f>'0. ГИРА'!BC6</f>
        <v>#DIV/0!</v>
      </c>
      <c r="BD6" s="24"/>
      <c r="BE6" s="24"/>
      <c r="BF6" s="25" t="e">
        <f>'0. ГИРА'!BF6</f>
        <v>#DIV/0!</v>
      </c>
      <c r="BG6" s="24"/>
      <c r="BH6" s="24"/>
      <c r="BI6" s="25" t="e">
        <f>'0. ГИРА'!BI6</f>
        <v>#DIV/0!</v>
      </c>
      <c r="BJ6" s="24"/>
      <c r="BK6" s="24"/>
      <c r="BL6" s="25" t="e">
        <f>'0. ГИРА'!BL6</f>
        <v>#DIV/0!</v>
      </c>
      <c r="BM6" s="24"/>
      <c r="BN6" s="24"/>
      <c r="BO6" s="25" t="e">
        <f>'0. ГИРА'!BO6</f>
        <v>#DIV/0!</v>
      </c>
      <c r="BP6" s="24"/>
      <c r="BQ6" s="24"/>
      <c r="BR6" s="25" t="e">
        <f>'0. ГИРА'!BR6</f>
        <v>#DIV/0!</v>
      </c>
      <c r="BS6" s="24"/>
      <c r="BT6" s="24"/>
      <c r="BU6" s="25" t="e">
        <f>'0. ГИРА'!BU6</f>
        <v>#DIV/0!</v>
      </c>
      <c r="BV6" s="24"/>
      <c r="BW6" s="24"/>
      <c r="BX6" s="25" t="e">
        <f>'0. ГИРА'!BX6</f>
        <v>#DIV/0!</v>
      </c>
      <c r="BY6" s="24"/>
      <c r="BZ6" s="24"/>
      <c r="CA6" s="25" t="e">
        <f>'0. ГИРА'!CA6</f>
        <v>#DIV/0!</v>
      </c>
      <c r="CB6" s="24"/>
      <c r="CC6" s="24"/>
      <c r="CD6" s="25">
        <f>'0. ГИРА'!CD6</f>
        <v>0</v>
      </c>
    </row>
    <row r="7" spans="1:82" ht="15" customHeight="1">
      <c r="A7" s="38" t="s">
        <v>27</v>
      </c>
      <c r="B7" s="33" t="str">
        <f>Реестр!N5</f>
        <v>-</v>
      </c>
      <c r="C7" s="30" t="s">
        <v>14</v>
      </c>
      <c r="D7" s="68"/>
      <c r="E7" s="68"/>
      <c r="F7" s="69">
        <f>E7-D7</f>
        <v>0</v>
      </c>
      <c r="G7" s="70">
        <f>G8*F7</f>
        <v>0</v>
      </c>
      <c r="H7" s="68"/>
      <c r="I7" s="22">
        <f>H7-E7</f>
        <v>0</v>
      </c>
      <c r="J7" s="70">
        <f>J8*I7</f>
        <v>0</v>
      </c>
      <c r="K7" s="68"/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15" customHeight="1">
      <c r="A8" s="37" t="s">
        <v>29</v>
      </c>
      <c r="B8" s="34" t="str">
        <f>Реестр!O5</f>
        <v>-</v>
      </c>
      <c r="C8" s="30" t="s">
        <v>15</v>
      </c>
      <c r="D8" s="71"/>
      <c r="E8" s="71"/>
      <c r="F8" s="71"/>
      <c r="G8" s="72">
        <f>'0. ГИРА'!G8</f>
        <v>9.0000090000090002E-2</v>
      </c>
      <c r="H8" s="71"/>
      <c r="I8" s="71"/>
      <c r="J8" s="72">
        <f>'0. ГИРА'!J8</f>
        <v>0.19565259924478096</v>
      </c>
      <c r="K8" s="71"/>
      <c r="L8" s="71"/>
      <c r="M8" s="72">
        <f>'0. ГИРА'!M8</f>
        <v>-5.1392491801673927E-2</v>
      </c>
      <c r="N8" s="71"/>
      <c r="O8" s="71"/>
      <c r="P8" s="72">
        <f>'0. ГИРА'!P8</f>
        <v>0</v>
      </c>
      <c r="Q8" s="71"/>
      <c r="R8" s="71"/>
      <c r="S8" s="72" t="e">
        <f>'0. ГИРА'!S8</f>
        <v>#DIV/0!</v>
      </c>
      <c r="T8" s="71"/>
      <c r="U8" s="71"/>
      <c r="V8" s="72" t="e">
        <f>'0. ГИРА'!V8</f>
        <v>#DIV/0!</v>
      </c>
      <c r="W8" s="71"/>
      <c r="X8" s="71"/>
      <c r="Y8" s="72" t="e">
        <f>'0. ГИРА'!Y8</f>
        <v>#DIV/0!</v>
      </c>
      <c r="Z8" s="71"/>
      <c r="AA8" s="71"/>
      <c r="AB8" s="72" t="e">
        <f>'0. ГИРА'!AB8</f>
        <v>#DIV/0!</v>
      </c>
      <c r="AC8" s="71"/>
      <c r="AD8" s="71"/>
      <c r="AE8" s="72" t="e">
        <f>'0. ГИРА'!AE8</f>
        <v>#DIV/0!</v>
      </c>
      <c r="AF8" s="71"/>
      <c r="AG8" s="71"/>
      <c r="AH8" s="72" t="e">
        <f>'0. ГИРА'!AH8</f>
        <v>#DIV/0!</v>
      </c>
      <c r="AI8" s="71"/>
      <c r="AJ8" s="71"/>
      <c r="AK8" s="72" t="e">
        <f>'0. ГИРА'!AK8</f>
        <v>#DIV/0!</v>
      </c>
      <c r="AL8" s="71"/>
      <c r="AM8" s="71"/>
      <c r="AN8" s="72" t="e">
        <f>'0. ГИРА'!AN8</f>
        <v>#DIV/0!</v>
      </c>
      <c r="AO8" s="71"/>
      <c r="AP8" s="71"/>
      <c r="AQ8" s="72" t="e">
        <f>'0. ГИРА'!AQ8</f>
        <v>#DIV/0!</v>
      </c>
      <c r="AR8" s="71"/>
      <c r="AS8" s="71"/>
      <c r="AT8" s="72" t="e">
        <f>'0. ГИРА'!AT8</f>
        <v>#DIV/0!</v>
      </c>
      <c r="AU8" s="71"/>
      <c r="AV8" s="71"/>
      <c r="AW8" s="72" t="e">
        <f>'0. ГИРА'!AW8</f>
        <v>#DIV/0!</v>
      </c>
      <c r="AX8" s="71"/>
      <c r="AY8" s="71"/>
      <c r="AZ8" s="72" t="e">
        <f>'0. ГИРА'!AZ8</f>
        <v>#DIV/0!</v>
      </c>
      <c r="BA8" s="71"/>
      <c r="BB8" s="71"/>
      <c r="BC8" s="72" t="e">
        <f>'0. ГИРА'!BC8</f>
        <v>#DIV/0!</v>
      </c>
      <c r="BD8" s="71"/>
      <c r="BE8" s="71"/>
      <c r="BF8" s="72" t="e">
        <f>'0. ГИРА'!BF8</f>
        <v>#DIV/0!</v>
      </c>
      <c r="BG8" s="71"/>
      <c r="BH8" s="71"/>
      <c r="BI8" s="72" t="e">
        <f>'0. ГИРА'!BI8</f>
        <v>#DIV/0!</v>
      </c>
      <c r="BJ8" s="71"/>
      <c r="BK8" s="71"/>
      <c r="BL8" s="72" t="e">
        <f>'0. ГИРА'!BL8</f>
        <v>#DIV/0!</v>
      </c>
      <c r="BM8" s="71"/>
      <c r="BN8" s="71"/>
      <c r="BO8" s="72" t="e">
        <f>'0. ГИРА'!BO8</f>
        <v>#DIV/0!</v>
      </c>
      <c r="BP8" s="71"/>
      <c r="BQ8" s="71"/>
      <c r="BR8" s="72" t="e">
        <f>'0. ГИРА'!BR8</f>
        <v>#DIV/0!</v>
      </c>
      <c r="BS8" s="71"/>
      <c r="BT8" s="71"/>
      <c r="BU8" s="72" t="e">
        <f>'0. ГИРА'!BU8</f>
        <v>#DIV/0!</v>
      </c>
      <c r="BV8" s="71"/>
      <c r="BW8" s="71"/>
      <c r="BX8" s="72" t="e">
        <f>'0. ГИРА'!BX8</f>
        <v>#DIV/0!</v>
      </c>
      <c r="BY8" s="71"/>
      <c r="BZ8" s="71"/>
      <c r="CA8" s="72" t="e">
        <f>'0. ГИРА'!CA8</f>
        <v>#DIV/0!</v>
      </c>
      <c r="CB8" s="71"/>
      <c r="CC8" s="71"/>
      <c r="CD8" s="72">
        <f>'0. ГИРА'!CD8</f>
        <v>0</v>
      </c>
    </row>
    <row r="9" spans="1:82" ht="15" customHeight="1">
      <c r="A9" s="38" t="s">
        <v>30</v>
      </c>
      <c r="B9" s="33" t="str">
        <f>Реестр!P5</f>
        <v>-</v>
      </c>
      <c r="C9" s="20" t="s">
        <v>16</v>
      </c>
      <c r="D9" s="21"/>
      <c r="E9" s="21"/>
      <c r="F9" s="22">
        <f>E9-D9</f>
        <v>0</v>
      </c>
      <c r="G9" s="23" t="e">
        <f>G10*B3</f>
        <v>#VALUE!</v>
      </c>
      <c r="H9" s="21"/>
      <c r="I9" s="22">
        <f>H9-E9</f>
        <v>0</v>
      </c>
      <c r="J9" s="23">
        <f>J10*E3</f>
        <v>0</v>
      </c>
      <c r="K9" s="21">
        <v>1234</v>
      </c>
      <c r="L9" s="22">
        <f>K9-H9</f>
        <v>1234</v>
      </c>
      <c r="M9" s="23">
        <v>12</v>
      </c>
      <c r="N9" s="21"/>
      <c r="O9" s="22">
        <f>N9-K9</f>
        <v>-1234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15" customHeight="1">
      <c r="C10" s="20" t="s">
        <v>17</v>
      </c>
      <c r="D10" s="24"/>
      <c r="E10" s="24"/>
      <c r="F10" s="24"/>
      <c r="G10" s="25">
        <f>'0. ГИРА'!G10</f>
        <v>24.617909529182487</v>
      </c>
      <c r="H10" s="24"/>
      <c r="I10" s="24"/>
      <c r="J10" s="25">
        <f>'0. ГИРА'!J10</f>
        <v>24.617909529182487</v>
      </c>
      <c r="K10" s="24"/>
      <c r="L10" s="24"/>
      <c r="M10" s="25">
        <f>'0. ГИРА'!M10</f>
        <v>20.514924607652073</v>
      </c>
      <c r="N10" s="24"/>
      <c r="O10" s="24"/>
      <c r="P10" s="25">
        <f>'0. ГИРА'!P10</f>
        <v>0</v>
      </c>
      <c r="Q10" s="24"/>
      <c r="R10" s="24"/>
      <c r="S10" s="25">
        <f>'0. ГИРА'!S10</f>
        <v>0</v>
      </c>
      <c r="T10" s="24"/>
      <c r="U10" s="24"/>
      <c r="V10" s="25">
        <f>'0. ГИРА'!V10</f>
        <v>0</v>
      </c>
      <c r="W10" s="24"/>
      <c r="X10" s="24"/>
      <c r="Y10" s="25">
        <f>'0. ГИРА'!Y10</f>
        <v>0</v>
      </c>
      <c r="Z10" s="24"/>
      <c r="AA10" s="24"/>
      <c r="AB10" s="25">
        <f>'0. ГИРА'!AB10</f>
        <v>0</v>
      </c>
      <c r="AC10" s="24"/>
      <c r="AD10" s="24"/>
      <c r="AE10" s="25">
        <f>'0. ГИРА'!AE10</f>
        <v>0</v>
      </c>
      <c r="AF10" s="24"/>
      <c r="AG10" s="24"/>
      <c r="AH10" s="25">
        <f>'0. ГИРА'!AH10</f>
        <v>0</v>
      </c>
      <c r="AI10" s="24"/>
      <c r="AJ10" s="24"/>
      <c r="AK10" s="25">
        <f>'0. ГИРА'!AK10</f>
        <v>0</v>
      </c>
      <c r="AL10" s="24"/>
      <c r="AM10" s="24"/>
      <c r="AN10" s="25">
        <f>'0. ГИРА'!AN10</f>
        <v>0</v>
      </c>
      <c r="AO10" s="24"/>
      <c r="AP10" s="24"/>
      <c r="AQ10" s="25">
        <f>'0. ГИРА'!AQ10</f>
        <v>0</v>
      </c>
      <c r="AR10" s="24"/>
      <c r="AS10" s="24"/>
      <c r="AT10" s="25">
        <f>'0. ГИРА'!AT10</f>
        <v>0</v>
      </c>
      <c r="AU10" s="24"/>
      <c r="AV10" s="24"/>
      <c r="AW10" s="25">
        <f>'0. ГИРА'!AW10</f>
        <v>0</v>
      </c>
      <c r="AX10" s="24"/>
      <c r="AY10" s="24"/>
      <c r="AZ10" s="25">
        <f>'0. ГИРА'!AZ10</f>
        <v>0</v>
      </c>
      <c r="BA10" s="24"/>
      <c r="BB10" s="24"/>
      <c r="BC10" s="25">
        <f>'0. ГИРА'!BC10</f>
        <v>0</v>
      </c>
      <c r="BD10" s="24"/>
      <c r="BE10" s="24"/>
      <c r="BF10" s="25">
        <f>'0. ГИРА'!BF10</f>
        <v>0</v>
      </c>
      <c r="BG10" s="24"/>
      <c r="BH10" s="24"/>
      <c r="BI10" s="25">
        <f>'0. ГИРА'!BI10</f>
        <v>0</v>
      </c>
      <c r="BJ10" s="24"/>
      <c r="BK10" s="24"/>
      <c r="BL10" s="25">
        <f>'0. ГИРА'!BL10</f>
        <v>0</v>
      </c>
      <c r="BM10" s="24"/>
      <c r="BN10" s="24"/>
      <c r="BO10" s="25">
        <f>'0. ГИРА'!BO10</f>
        <v>0</v>
      </c>
      <c r="BP10" s="24"/>
      <c r="BQ10" s="24"/>
      <c r="BR10" s="25">
        <f>'0. ГИРА'!BR10</f>
        <v>0</v>
      </c>
      <c r="BS10" s="24"/>
      <c r="BT10" s="24"/>
      <c r="BU10" s="25">
        <f>'0. ГИРА'!BU10</f>
        <v>0</v>
      </c>
      <c r="BV10" s="24"/>
      <c r="BW10" s="24"/>
      <c r="BX10" s="25">
        <f>'0. ГИРА'!BX10</f>
        <v>0</v>
      </c>
      <c r="BY10" s="24"/>
      <c r="BZ10" s="24"/>
      <c r="CA10" s="25">
        <f>'0. ГИРА'!CA10</f>
        <v>0</v>
      </c>
      <c r="CB10" s="24"/>
      <c r="CC10" s="24"/>
      <c r="CD10" s="25">
        <f>'0. ГИРА'!CD10</f>
        <v>0</v>
      </c>
    </row>
    <row r="11" spans="1:82">
      <c r="A11" s="67" t="s">
        <v>31</v>
      </c>
      <c r="B11">
        <f>Реестр!J5</f>
        <v>0</v>
      </c>
      <c r="C11" s="26" t="s">
        <v>18</v>
      </c>
      <c r="D11" s="21"/>
      <c r="E11" s="21"/>
      <c r="F11" s="22">
        <f>E11-D11</f>
        <v>0</v>
      </c>
      <c r="G11" s="23"/>
      <c r="H11" s="21"/>
      <c r="I11" s="22">
        <f>H11-E11</f>
        <v>0</v>
      </c>
      <c r="J11" s="23">
        <f>J12*E3</f>
        <v>0</v>
      </c>
      <c r="K11" s="21"/>
      <c r="L11" s="22">
        <f>K11-H11</f>
        <v>0</v>
      </c>
      <c r="M11" s="23">
        <f>M12*H3</f>
        <v>0</v>
      </c>
      <c r="N11" s="21"/>
      <c r="O11" s="22">
        <f>N11-K11</f>
        <v>0</v>
      </c>
      <c r="P11" s="23">
        <f>P12*K3</f>
        <v>0</v>
      </c>
      <c r="Q11" s="21"/>
      <c r="R11" s="22">
        <f>Q11-N11</f>
        <v>0</v>
      </c>
      <c r="S11" s="23">
        <f>S12*N3</f>
        <v>0</v>
      </c>
      <c r="T11" s="21"/>
      <c r="U11" s="22">
        <f>T11-Q11</f>
        <v>0</v>
      </c>
      <c r="V11" s="23">
        <f>V12*Q3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'0. ГИРА'!G12</f>
        <v>12142.857142857143</v>
      </c>
      <c r="H12" s="24"/>
      <c r="I12" s="24"/>
      <c r="J12" s="25">
        <f>'0. ГИРА'!J12</f>
        <v>174.37685916504262</v>
      </c>
      <c r="K12" s="24"/>
      <c r="L12" s="24"/>
      <c r="M12" s="25">
        <f>'0. ГИРА'!M12</f>
        <v>102.57462303826036</v>
      </c>
      <c r="N12" s="24"/>
      <c r="O12" s="24"/>
      <c r="P12" s="25">
        <f>'0. ГИРА'!P12</f>
        <v>0</v>
      </c>
      <c r="Q12" s="24"/>
      <c r="R12" s="24"/>
      <c r="S12" s="25">
        <f>'0. ГИРА'!S12</f>
        <v>0</v>
      </c>
      <c r="T12" s="24"/>
      <c r="U12" s="24"/>
      <c r="V12" s="25">
        <f>'0. ГИРА'!V12</f>
        <v>0</v>
      </c>
      <c r="W12" s="24"/>
      <c r="X12" s="24"/>
      <c r="Y12" s="25">
        <f>'0. ГИРА'!Y12</f>
        <v>0</v>
      </c>
      <c r="Z12" s="24"/>
      <c r="AA12" s="24"/>
      <c r="AB12" s="25">
        <f>'0. ГИРА'!AB12</f>
        <v>0</v>
      </c>
      <c r="AC12" s="24"/>
      <c r="AD12" s="24"/>
      <c r="AE12" s="25">
        <f>'0. ГИРА'!AE12</f>
        <v>0</v>
      </c>
      <c r="AF12" s="24"/>
      <c r="AG12" s="24"/>
      <c r="AH12" s="25">
        <f>'0. ГИРА'!AH12</f>
        <v>0</v>
      </c>
      <c r="AI12" s="24"/>
      <c r="AJ12" s="24"/>
      <c r="AK12" s="25">
        <f>'0. ГИРА'!AK12</f>
        <v>0</v>
      </c>
      <c r="AL12" s="24"/>
      <c r="AM12" s="24"/>
      <c r="AN12" s="25">
        <f>'0. ГИРА'!AN12</f>
        <v>0</v>
      </c>
      <c r="AO12" s="24"/>
      <c r="AP12" s="24"/>
      <c r="AQ12" s="25">
        <f>'0. ГИРА'!AQ12</f>
        <v>0</v>
      </c>
      <c r="AR12" s="24"/>
      <c r="AS12" s="24"/>
      <c r="AT12" s="25">
        <f>'0. ГИРА'!AT12</f>
        <v>0</v>
      </c>
      <c r="AU12" s="24"/>
      <c r="AV12" s="24"/>
      <c r="AW12" s="25">
        <f>'0. ГИРА'!AW12</f>
        <v>0</v>
      </c>
      <c r="AX12" s="24"/>
      <c r="AY12" s="24"/>
      <c r="AZ12" s="25">
        <f>'0. ГИРА'!AZ12</f>
        <v>0</v>
      </c>
      <c r="BA12" s="24"/>
      <c r="BB12" s="24"/>
      <c r="BC12" s="25">
        <f>'0. ГИРА'!BC12</f>
        <v>0</v>
      </c>
      <c r="BD12" s="24"/>
      <c r="BE12" s="24"/>
      <c r="BF12" s="25">
        <f>'0. ГИРА'!BF12</f>
        <v>0</v>
      </c>
      <c r="BG12" s="24"/>
      <c r="BH12" s="24"/>
      <c r="BI12" s="25">
        <f>'0. ГИРА'!BI12</f>
        <v>0</v>
      </c>
      <c r="BJ12" s="24"/>
      <c r="BK12" s="24"/>
      <c r="BL12" s="25">
        <f>'0. ГИРА'!BL12</f>
        <v>0</v>
      </c>
      <c r="BM12" s="24"/>
      <c r="BN12" s="24"/>
      <c r="BO12" s="25">
        <f>'0. ГИРА'!BO12</f>
        <v>0</v>
      </c>
      <c r="BP12" s="24"/>
      <c r="BQ12" s="24"/>
      <c r="BR12" s="25">
        <f>'0. ГИРА'!BR12</f>
        <v>0</v>
      </c>
      <c r="BS12" s="24"/>
      <c r="BT12" s="24"/>
      <c r="BU12" s="25">
        <f>'0. ГИРА'!BU12</f>
        <v>0</v>
      </c>
      <c r="BV12" s="24"/>
      <c r="BW12" s="24"/>
      <c r="BX12" s="25">
        <f>'0. ГИРА'!BX12</f>
        <v>0</v>
      </c>
      <c r="BY12" s="24"/>
      <c r="BZ12" s="24"/>
      <c r="CA12" s="25">
        <f>'0. ГИРА'!CA12</f>
        <v>0</v>
      </c>
      <c r="CB12" s="24"/>
      <c r="CC12" s="24"/>
      <c r="CD12" s="25">
        <f>'0. ГИРА'!CD12</f>
        <v>0</v>
      </c>
    </row>
    <row r="13" spans="1:82">
      <c r="D13" s="14"/>
      <c r="E13" s="14"/>
      <c r="F13" s="15"/>
      <c r="G13" s="16"/>
    </row>
    <row r="14" spans="1:82">
      <c r="G14" s="16"/>
    </row>
    <row r="15" spans="1:82">
      <c r="G15" s="16"/>
    </row>
    <row r="16" spans="1:82">
      <c r="G16" s="16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defaultColWidth="10" defaultRowHeight="15"/>
  <cols>
    <col min="1" max="1" width="13.140625" bestFit="1" customWidth="1"/>
    <col min="2" max="2" width="21.140625" customWidth="1"/>
    <col min="3" max="3" width="25.42578125" style="1" customWidth="1"/>
    <col min="4" max="4" width="7.42578125" bestFit="1" customWidth="1"/>
    <col min="5" max="5" width="6.42578125" bestFit="1" customWidth="1"/>
    <col min="6" max="6" width="9.85546875" style="1" bestFit="1" customWidth="1"/>
    <col min="7" max="7" width="9" style="1" customWidth="1"/>
    <col min="8" max="8" width="6.42578125" customWidth="1"/>
    <col min="9" max="9" width="9.85546875" style="1" bestFit="1" customWidth="1"/>
    <col min="10" max="10" width="6.42578125" style="1" bestFit="1" customWidth="1"/>
    <col min="11" max="11" width="7.85546875" bestFit="1" customWidth="1"/>
    <col min="12" max="12" width="9.85546875" style="1" bestFit="1" customWidth="1"/>
    <col min="13" max="13" width="8.28515625" style="1" customWidth="1"/>
    <col min="14" max="14" width="7.42578125" bestFit="1" customWidth="1"/>
    <col min="15" max="15" width="9.85546875" style="1" bestFit="1" customWidth="1"/>
    <col min="16" max="16" width="8.28515625" style="1" bestFit="1" customWidth="1"/>
    <col min="17" max="17" width="6.42578125" bestFit="1" customWidth="1"/>
    <col min="18" max="18" width="9.85546875" style="1" bestFit="1" customWidth="1"/>
    <col min="19" max="19" width="8.28515625" style="1" bestFit="1" customWidth="1"/>
    <col min="20" max="20" width="7" bestFit="1" customWidth="1"/>
    <col min="21" max="21" width="9.85546875" style="1" bestFit="1" customWidth="1"/>
    <col min="22" max="22" width="8.28515625" style="1" bestFit="1" customWidth="1"/>
    <col min="23" max="23" width="8" bestFit="1" customWidth="1"/>
    <col min="24" max="24" width="9.85546875" style="1" bestFit="1" customWidth="1"/>
    <col min="25" max="25" width="8.28515625" style="1" bestFit="1" customWidth="1"/>
    <col min="26" max="26" width="8" bestFit="1" customWidth="1"/>
    <col min="27" max="27" width="9.85546875" style="1" bestFit="1" customWidth="1"/>
    <col min="28" max="28" width="8.28515625" style="1" bestFit="1" customWidth="1"/>
    <col min="29" max="29" width="6.140625" bestFit="1" customWidth="1"/>
    <col min="30" max="30" width="9.85546875" style="1" bestFit="1" customWidth="1"/>
    <col min="31" max="31" width="8.28515625" style="1" bestFit="1" customWidth="1"/>
    <col min="32" max="32" width="7.140625" bestFit="1" customWidth="1"/>
    <col min="33" max="33" width="9.85546875" style="1" bestFit="1" customWidth="1"/>
    <col min="34" max="34" width="8.28515625" style="1" bestFit="1" customWidth="1"/>
    <col min="35" max="35" width="6.28515625" bestFit="1" customWidth="1"/>
    <col min="36" max="36" width="9.85546875" style="1" bestFit="1" customWidth="1"/>
    <col min="37" max="37" width="8.28515625" style="1" bestFit="1" customWidth="1"/>
    <col min="38" max="38" width="7.42578125" bestFit="1" customWidth="1"/>
    <col min="39" max="39" width="9.85546875" style="1" bestFit="1" customWidth="1"/>
    <col min="40" max="40" width="8.28515625" style="1" bestFit="1" customWidth="1"/>
    <col min="41" max="41" width="6.42578125" bestFit="1" customWidth="1"/>
    <col min="42" max="42" width="9.85546875" style="1" bestFit="1" customWidth="1"/>
    <col min="43" max="43" width="8.28515625" style="1" bestFit="1" customWidth="1"/>
    <col min="44" max="44" width="6.42578125" bestFit="1" customWidth="1"/>
    <col min="45" max="45" width="9.85546875" style="1" bestFit="1" customWidth="1"/>
    <col min="46" max="46" width="8.28515625" style="1" bestFit="1" customWidth="1"/>
    <col min="47" max="47" width="7.85546875" bestFit="1" customWidth="1"/>
    <col min="48" max="48" width="9.85546875" bestFit="1" customWidth="1"/>
    <col min="49" max="49" width="8.28515625" bestFit="1" customWidth="1"/>
    <col min="50" max="50" width="7.42578125" bestFit="1" customWidth="1"/>
    <col min="51" max="51" width="9.85546875" bestFit="1" customWidth="1"/>
    <col min="52" max="52" width="8.28515625" bestFit="1" customWidth="1"/>
    <col min="53" max="53" width="6.42578125" bestFit="1" customWidth="1"/>
    <col min="54" max="54" width="9.85546875" bestFit="1" customWidth="1"/>
    <col min="55" max="55" width="8.28515625" bestFit="1" customWidth="1"/>
    <col min="56" max="56" width="7" bestFit="1" customWidth="1"/>
    <col min="57" max="57" width="9.85546875" bestFit="1" customWidth="1"/>
    <col min="58" max="58" width="8.28515625" bestFit="1" customWidth="1"/>
    <col min="59" max="59" width="8" bestFit="1" customWidth="1"/>
    <col min="60" max="60" width="9.85546875" bestFit="1" customWidth="1"/>
    <col min="61" max="61" width="8.28515625" bestFit="1" customWidth="1"/>
    <col min="62" max="62" width="8" bestFit="1" customWidth="1"/>
    <col min="63" max="63" width="9.85546875" bestFit="1" customWidth="1"/>
    <col min="64" max="64" width="8.28515625" bestFit="1" customWidth="1"/>
    <col min="65" max="65" width="6.140625" bestFit="1" customWidth="1"/>
    <col min="66" max="66" width="9.85546875" bestFit="1" customWidth="1"/>
    <col min="67" max="67" width="8.28515625" bestFit="1" customWidth="1"/>
    <col min="68" max="68" width="7.140625" bestFit="1" customWidth="1"/>
    <col min="69" max="69" width="9.85546875" bestFit="1" customWidth="1"/>
    <col min="70" max="70" width="8.28515625" bestFit="1" customWidth="1"/>
    <col min="71" max="71" width="6.28515625" bestFit="1" customWidth="1"/>
    <col min="72" max="72" width="9.85546875" bestFit="1" customWidth="1"/>
    <col min="73" max="73" width="8.28515625" bestFit="1" customWidth="1"/>
    <col min="74" max="74" width="7.42578125" bestFit="1" customWidth="1"/>
    <col min="75" max="75" width="9.85546875" bestFit="1" customWidth="1"/>
    <col min="76" max="76" width="8.28515625" bestFit="1" customWidth="1"/>
    <col min="77" max="77" width="6.42578125" bestFit="1" customWidth="1"/>
    <col min="78" max="78" width="9.85546875" bestFit="1" customWidth="1"/>
    <col min="79" max="79" width="8.28515625" bestFit="1" customWidth="1"/>
    <col min="80" max="80" width="6.42578125" bestFit="1" customWidth="1"/>
    <col min="81" max="81" width="9.85546875" bestFit="1" customWidth="1"/>
    <col min="82" max="82" width="6.42578125" bestFit="1" customWidth="1"/>
  </cols>
  <sheetData>
    <row r="1" spans="1:82">
      <c r="A1" s="33" t="s">
        <v>9</v>
      </c>
      <c r="B1" s="33">
        <f>Реестр!D6</f>
        <v>222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Реестр!B6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>
      <c r="A3" s="33" t="s">
        <v>24</v>
      </c>
      <c r="B3" s="34" t="str">
        <f>Реестр!F6</f>
        <v>Галяутдинова Н.А.</v>
      </c>
      <c r="C3" s="20" t="s">
        <v>8</v>
      </c>
      <c r="D3" s="21"/>
      <c r="E3" s="21"/>
      <c r="F3" s="22">
        <f>E3-D3</f>
        <v>0</v>
      </c>
      <c r="G3" s="23">
        <f>F3*G4</f>
        <v>0</v>
      </c>
      <c r="H3" s="21"/>
      <c r="I3" s="22">
        <f>H3-E3</f>
        <v>0</v>
      </c>
      <c r="J3" s="23">
        <f>I3*J4</f>
        <v>0</v>
      </c>
      <c r="K3" s="21"/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>
      <c r="A4" s="33" t="s">
        <v>7</v>
      </c>
      <c r="B4" s="34">
        <f>Реестр!H6</f>
        <v>36</v>
      </c>
      <c r="C4" s="20" t="s">
        <v>10</v>
      </c>
      <c r="D4" s="24"/>
      <c r="E4" s="24"/>
      <c r="F4" s="24"/>
      <c r="G4" s="25">
        <f>'0. ГИРА'!G4</f>
        <v>4.5000045000045001E-2</v>
      </c>
      <c r="H4" s="24"/>
      <c r="I4" s="24"/>
      <c r="J4" s="25">
        <f>'0. ГИРА'!J4</f>
        <v>0.19565259924478096</v>
      </c>
      <c r="K4" s="24"/>
      <c r="L4" s="24"/>
      <c r="M4" s="25">
        <f>'0. ГИРА'!M4</f>
        <v>9.1743119266055051E-3</v>
      </c>
      <c r="N4" s="24"/>
      <c r="O4" s="24"/>
      <c r="P4" s="25">
        <f>'0. ГИРА'!P4</f>
        <v>0</v>
      </c>
      <c r="Q4" s="24"/>
      <c r="R4" s="24"/>
      <c r="S4" s="25" t="e">
        <f>'0. ГИРА'!S4</f>
        <v>#DIV/0!</v>
      </c>
      <c r="T4" s="24"/>
      <c r="U4" s="24"/>
      <c r="V4" s="25" t="e">
        <f>'0. ГИРА'!V4</f>
        <v>#DIV/0!</v>
      </c>
      <c r="W4" s="24"/>
      <c r="X4" s="24"/>
      <c r="Y4" s="25" t="e">
        <f>'0. ГИРА'!Y4</f>
        <v>#DIV/0!</v>
      </c>
      <c r="Z4" s="24"/>
      <c r="AA4" s="24"/>
      <c r="AB4" s="25" t="e">
        <f>'0. ГИРА'!AB4</f>
        <v>#DIV/0!</v>
      </c>
      <c r="AC4" s="24"/>
      <c r="AD4" s="24"/>
      <c r="AE4" s="25" t="e">
        <f>'0. ГИРА'!AE4</f>
        <v>#DIV/0!</v>
      </c>
      <c r="AF4" s="24"/>
      <c r="AG4" s="24"/>
      <c r="AH4" s="25" t="e">
        <f>'0. ГИРА'!AH4</f>
        <v>#DIV/0!</v>
      </c>
      <c r="AI4" s="24"/>
      <c r="AJ4" s="24"/>
      <c r="AK4" s="25" t="e">
        <f>'0. ГИРА'!AK4</f>
        <v>#DIV/0!</v>
      </c>
      <c r="AL4" s="24"/>
      <c r="AM4" s="24"/>
      <c r="AN4" s="25" t="e">
        <f>'0. ГИРА'!AN4</f>
        <v>#DIV/0!</v>
      </c>
      <c r="AO4" s="24"/>
      <c r="AP4" s="24"/>
      <c r="AQ4" s="25" t="e">
        <f>'0. ГИРА'!AQ4</f>
        <v>#DIV/0!</v>
      </c>
      <c r="AR4" s="24"/>
      <c r="AS4" s="24"/>
      <c r="AT4" s="25" t="e">
        <f>'0. ГИРА'!AT4</f>
        <v>#DIV/0!</v>
      </c>
      <c r="AU4" s="24"/>
      <c r="AV4" s="24"/>
      <c r="AW4" s="25" t="e">
        <f>'0. ГИРА'!AW4</f>
        <v>#DIV/0!</v>
      </c>
      <c r="AX4" s="24"/>
      <c r="AY4" s="24"/>
      <c r="AZ4" s="25" t="e">
        <f>'0. ГИРА'!AZ4</f>
        <v>#DIV/0!</v>
      </c>
      <c r="BA4" s="24"/>
      <c r="BB4" s="24"/>
      <c r="BC4" s="25" t="e">
        <f>'0. ГИРА'!BC4</f>
        <v>#DIV/0!</v>
      </c>
      <c r="BD4" s="24"/>
      <c r="BE4" s="24"/>
      <c r="BF4" s="25" t="e">
        <f>'0. ГИРА'!BF4</f>
        <v>#DIV/0!</v>
      </c>
      <c r="BG4" s="24"/>
      <c r="BH4" s="24"/>
      <c r="BI4" s="25" t="e">
        <f>'0. ГИРА'!BI4</f>
        <v>#DIV/0!</v>
      </c>
      <c r="BJ4" s="24"/>
      <c r="BK4" s="24"/>
      <c r="BL4" s="25" t="e">
        <f>'0. ГИРА'!BL4</f>
        <v>#DIV/0!</v>
      </c>
      <c r="BM4" s="24"/>
      <c r="BN4" s="24"/>
      <c r="BO4" s="25" t="e">
        <f>'0. ГИРА'!BO4</f>
        <v>#DIV/0!</v>
      </c>
      <c r="BP4" s="24"/>
      <c r="BQ4" s="24"/>
      <c r="BR4" s="25" t="e">
        <f>'0. ГИРА'!BR4</f>
        <v>#DIV/0!</v>
      </c>
      <c r="BS4" s="24"/>
      <c r="BT4" s="24"/>
      <c r="BU4" s="25" t="e">
        <f>'0. ГИРА'!BU4</f>
        <v>#DIV/0!</v>
      </c>
      <c r="BV4" s="24"/>
      <c r="BW4" s="24"/>
      <c r="BX4" s="25" t="e">
        <f>'0. ГИРА'!BX4</f>
        <v>#DIV/0!</v>
      </c>
      <c r="BY4" s="24"/>
      <c r="BZ4" s="24"/>
      <c r="CA4" s="25" t="e">
        <f>'0. ГИРА'!CA4</f>
        <v>#DIV/0!</v>
      </c>
      <c r="CB4" s="24"/>
      <c r="CC4" s="24"/>
      <c r="CD4" s="25">
        <f>'0. ГИРА'!CD4</f>
        <v>0</v>
      </c>
    </row>
    <row r="5" spans="1:82" ht="15" customHeight="1">
      <c r="A5" s="36"/>
      <c r="B5" s="36"/>
      <c r="C5" s="30" t="s">
        <v>12</v>
      </c>
      <c r="D5" s="21"/>
      <c r="E5" s="21"/>
      <c r="F5" s="22">
        <f>E5-D5</f>
        <v>0</v>
      </c>
      <c r="G5" s="23"/>
      <c r="H5" s="21"/>
      <c r="I5" s="22">
        <f>H5-E5</f>
        <v>0</v>
      </c>
      <c r="J5" s="23"/>
      <c r="K5" s="21"/>
      <c r="L5" s="22">
        <f>K5-H5</f>
        <v>0</v>
      </c>
      <c r="M5" s="23"/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15" customHeight="1">
      <c r="A6" s="37" t="s">
        <v>26</v>
      </c>
      <c r="B6" s="34" t="str">
        <f>Реестр!M6</f>
        <v xml:space="preserve">Наталья </v>
      </c>
      <c r="C6" s="30" t="s">
        <v>13</v>
      </c>
      <c r="D6" s="24"/>
      <c r="E6" s="24"/>
      <c r="F6" s="24"/>
      <c r="G6" s="25">
        <f>'0. ГИРА'!G6</f>
        <v>6.7500067500067498E-2</v>
      </c>
      <c r="H6" s="24"/>
      <c r="I6" s="24"/>
      <c r="J6" s="25">
        <f>'0. ГИРА'!J6</f>
        <v>0.14673944943358572</v>
      </c>
      <c r="K6" s="24"/>
      <c r="L6" s="24"/>
      <c r="M6" s="25">
        <f>'0. ГИРА'!M6</f>
        <v>-1.1069527173053609E-2</v>
      </c>
      <c r="N6" s="24"/>
      <c r="O6" s="24"/>
      <c r="P6" s="25">
        <f>'0. ГИРА'!P6</f>
        <v>0</v>
      </c>
      <c r="Q6" s="24"/>
      <c r="R6" s="24"/>
      <c r="S6" s="25" t="e">
        <f>'0. ГИРА'!S6</f>
        <v>#DIV/0!</v>
      </c>
      <c r="T6" s="24"/>
      <c r="U6" s="24"/>
      <c r="V6" s="25" t="e">
        <f>'0. ГИРА'!V6</f>
        <v>#DIV/0!</v>
      </c>
      <c r="W6" s="24"/>
      <c r="X6" s="24"/>
      <c r="Y6" s="25" t="e">
        <f>'0. ГИРА'!Y6</f>
        <v>#DIV/0!</v>
      </c>
      <c r="Z6" s="24"/>
      <c r="AA6" s="24"/>
      <c r="AB6" s="25" t="e">
        <f>'0. ГИРА'!AB6</f>
        <v>#DIV/0!</v>
      </c>
      <c r="AC6" s="24"/>
      <c r="AD6" s="24"/>
      <c r="AE6" s="25" t="e">
        <f>'0. ГИРА'!AE6</f>
        <v>#DIV/0!</v>
      </c>
      <c r="AF6" s="24"/>
      <c r="AG6" s="24"/>
      <c r="AH6" s="25" t="e">
        <f>'0. ГИРА'!AH6</f>
        <v>#DIV/0!</v>
      </c>
      <c r="AI6" s="24"/>
      <c r="AJ6" s="24"/>
      <c r="AK6" s="25" t="e">
        <f>'0. ГИРА'!AK6</f>
        <v>#DIV/0!</v>
      </c>
      <c r="AL6" s="24"/>
      <c r="AM6" s="24"/>
      <c r="AN6" s="25" t="e">
        <f>'0. ГИРА'!AN6</f>
        <v>#DIV/0!</v>
      </c>
      <c r="AO6" s="24"/>
      <c r="AP6" s="24"/>
      <c r="AQ6" s="25" t="e">
        <f>'0. ГИРА'!AQ6</f>
        <v>#DIV/0!</v>
      </c>
      <c r="AR6" s="24"/>
      <c r="AS6" s="24"/>
      <c r="AT6" s="25" t="e">
        <f>'0. ГИРА'!AT6</f>
        <v>#DIV/0!</v>
      </c>
      <c r="AU6" s="24"/>
      <c r="AV6" s="24"/>
      <c r="AW6" s="25" t="e">
        <f>'0. ГИРА'!AW6</f>
        <v>#DIV/0!</v>
      </c>
      <c r="AX6" s="24"/>
      <c r="AY6" s="24"/>
      <c r="AZ6" s="25" t="e">
        <f>'0. ГИРА'!AZ6</f>
        <v>#DIV/0!</v>
      </c>
      <c r="BA6" s="24"/>
      <c r="BB6" s="24"/>
      <c r="BC6" s="25" t="e">
        <f>'0. ГИРА'!BC6</f>
        <v>#DIV/0!</v>
      </c>
      <c r="BD6" s="24"/>
      <c r="BE6" s="24"/>
      <c r="BF6" s="25" t="e">
        <f>'0. ГИРА'!BF6</f>
        <v>#DIV/0!</v>
      </c>
      <c r="BG6" s="24"/>
      <c r="BH6" s="24"/>
      <c r="BI6" s="25" t="e">
        <f>'0. ГИРА'!BI6</f>
        <v>#DIV/0!</v>
      </c>
      <c r="BJ6" s="24"/>
      <c r="BK6" s="24"/>
      <c r="BL6" s="25" t="e">
        <f>'0. ГИРА'!BL6</f>
        <v>#DIV/0!</v>
      </c>
      <c r="BM6" s="24"/>
      <c r="BN6" s="24"/>
      <c r="BO6" s="25" t="e">
        <f>'0. ГИРА'!BO6</f>
        <v>#DIV/0!</v>
      </c>
      <c r="BP6" s="24"/>
      <c r="BQ6" s="24"/>
      <c r="BR6" s="25" t="e">
        <f>'0. ГИРА'!BR6</f>
        <v>#DIV/0!</v>
      </c>
      <c r="BS6" s="24"/>
      <c r="BT6" s="24"/>
      <c r="BU6" s="25" t="e">
        <f>'0. ГИРА'!BU6</f>
        <v>#DIV/0!</v>
      </c>
      <c r="BV6" s="24"/>
      <c r="BW6" s="24"/>
      <c r="BX6" s="25" t="e">
        <f>'0. ГИРА'!BX6</f>
        <v>#DIV/0!</v>
      </c>
      <c r="BY6" s="24"/>
      <c r="BZ6" s="24"/>
      <c r="CA6" s="25" t="e">
        <f>'0. ГИРА'!CA6</f>
        <v>#DIV/0!</v>
      </c>
      <c r="CB6" s="24"/>
      <c r="CC6" s="24"/>
      <c r="CD6" s="25">
        <f>'0. ГИРА'!CD6</f>
        <v>0</v>
      </c>
    </row>
    <row r="7" spans="1:82" ht="15" customHeight="1">
      <c r="A7" s="38" t="s">
        <v>27</v>
      </c>
      <c r="B7" s="33">
        <f>Реестр!N6</f>
        <v>89655937317</v>
      </c>
      <c r="C7" s="30" t="s">
        <v>14</v>
      </c>
      <c r="D7" s="68"/>
      <c r="E7" s="68"/>
      <c r="F7" s="69">
        <f>E7-D7</f>
        <v>0</v>
      </c>
      <c r="G7" s="70">
        <f>G8*F7</f>
        <v>0</v>
      </c>
      <c r="H7" s="68"/>
      <c r="I7" s="22">
        <f>H7-E7</f>
        <v>0</v>
      </c>
      <c r="J7" s="70">
        <f>J8*I7</f>
        <v>0</v>
      </c>
      <c r="K7" s="68"/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15" customHeight="1">
      <c r="A8" s="37" t="s">
        <v>29</v>
      </c>
      <c r="B8" s="34" t="str">
        <f>Реестр!O6</f>
        <v>-</v>
      </c>
      <c r="C8" s="30" t="s">
        <v>15</v>
      </c>
      <c r="D8" s="71"/>
      <c r="E8" s="71"/>
      <c r="F8" s="71"/>
      <c r="G8" s="72">
        <f>'0. ГИРА'!G8</f>
        <v>9.0000090000090002E-2</v>
      </c>
      <c r="H8" s="71"/>
      <c r="I8" s="71"/>
      <c r="J8" s="72">
        <f>'0. ГИРА'!J8</f>
        <v>0.19565259924478096</v>
      </c>
      <c r="K8" s="71"/>
      <c r="L8" s="71"/>
      <c r="M8" s="72">
        <f>'0. ГИРА'!M8</f>
        <v>-5.1392491801673927E-2</v>
      </c>
      <c r="N8" s="71"/>
      <c r="O8" s="71"/>
      <c r="P8" s="72">
        <f>'0. ГИРА'!P8</f>
        <v>0</v>
      </c>
      <c r="Q8" s="71"/>
      <c r="R8" s="71"/>
      <c r="S8" s="72" t="e">
        <f>'0. ГИРА'!S8</f>
        <v>#DIV/0!</v>
      </c>
      <c r="T8" s="71"/>
      <c r="U8" s="71"/>
      <c r="V8" s="72" t="e">
        <f>'0. ГИРА'!V8</f>
        <v>#DIV/0!</v>
      </c>
      <c r="W8" s="71"/>
      <c r="X8" s="71"/>
      <c r="Y8" s="72" t="e">
        <f>'0. ГИРА'!Y8</f>
        <v>#DIV/0!</v>
      </c>
      <c r="Z8" s="71"/>
      <c r="AA8" s="71"/>
      <c r="AB8" s="72" t="e">
        <f>'0. ГИРА'!AB8</f>
        <v>#DIV/0!</v>
      </c>
      <c r="AC8" s="71"/>
      <c r="AD8" s="71"/>
      <c r="AE8" s="72" t="e">
        <f>'0. ГИРА'!AE8</f>
        <v>#DIV/0!</v>
      </c>
      <c r="AF8" s="71"/>
      <c r="AG8" s="71"/>
      <c r="AH8" s="72" t="e">
        <f>'0. ГИРА'!AH8</f>
        <v>#DIV/0!</v>
      </c>
      <c r="AI8" s="71"/>
      <c r="AJ8" s="71"/>
      <c r="AK8" s="72" t="e">
        <f>'0. ГИРА'!AK8</f>
        <v>#DIV/0!</v>
      </c>
      <c r="AL8" s="71"/>
      <c r="AM8" s="71"/>
      <c r="AN8" s="72" t="e">
        <f>'0. ГИРА'!AN8</f>
        <v>#DIV/0!</v>
      </c>
      <c r="AO8" s="71"/>
      <c r="AP8" s="71"/>
      <c r="AQ8" s="72" t="e">
        <f>'0. ГИРА'!AQ8</f>
        <v>#DIV/0!</v>
      </c>
      <c r="AR8" s="71"/>
      <c r="AS8" s="71"/>
      <c r="AT8" s="72" t="e">
        <f>'0. ГИРА'!AT8</f>
        <v>#DIV/0!</v>
      </c>
      <c r="AU8" s="71"/>
      <c r="AV8" s="71"/>
      <c r="AW8" s="72" t="e">
        <f>'0. ГИРА'!AW8</f>
        <v>#DIV/0!</v>
      </c>
      <c r="AX8" s="71"/>
      <c r="AY8" s="71"/>
      <c r="AZ8" s="72" t="e">
        <f>'0. ГИРА'!AZ8</f>
        <v>#DIV/0!</v>
      </c>
      <c r="BA8" s="71"/>
      <c r="BB8" s="71"/>
      <c r="BC8" s="72" t="e">
        <f>'0. ГИРА'!BC8</f>
        <v>#DIV/0!</v>
      </c>
      <c r="BD8" s="71"/>
      <c r="BE8" s="71"/>
      <c r="BF8" s="72" t="e">
        <f>'0. ГИРА'!BF8</f>
        <v>#DIV/0!</v>
      </c>
      <c r="BG8" s="71"/>
      <c r="BH8" s="71"/>
      <c r="BI8" s="72" t="e">
        <f>'0. ГИРА'!BI8</f>
        <v>#DIV/0!</v>
      </c>
      <c r="BJ8" s="71"/>
      <c r="BK8" s="71"/>
      <c r="BL8" s="72" t="e">
        <f>'0. ГИРА'!BL8</f>
        <v>#DIV/0!</v>
      </c>
      <c r="BM8" s="71"/>
      <c r="BN8" s="71"/>
      <c r="BO8" s="72" t="e">
        <f>'0. ГИРА'!BO8</f>
        <v>#DIV/0!</v>
      </c>
      <c r="BP8" s="71"/>
      <c r="BQ8" s="71"/>
      <c r="BR8" s="72" t="e">
        <f>'0. ГИРА'!BR8</f>
        <v>#DIV/0!</v>
      </c>
      <c r="BS8" s="71"/>
      <c r="BT8" s="71"/>
      <c r="BU8" s="72" t="e">
        <f>'0. ГИРА'!BU8</f>
        <v>#DIV/0!</v>
      </c>
      <c r="BV8" s="71"/>
      <c r="BW8" s="71"/>
      <c r="BX8" s="72" t="e">
        <f>'0. ГИРА'!BX8</f>
        <v>#DIV/0!</v>
      </c>
      <c r="BY8" s="71"/>
      <c r="BZ8" s="71"/>
      <c r="CA8" s="72" t="e">
        <f>'0. ГИРА'!CA8</f>
        <v>#DIV/0!</v>
      </c>
      <c r="CB8" s="71"/>
      <c r="CC8" s="71"/>
      <c r="CD8" s="72">
        <f>'0. ГИРА'!CD8</f>
        <v>0</v>
      </c>
    </row>
    <row r="9" spans="1:82" ht="15" customHeight="1">
      <c r="A9" s="38" t="s">
        <v>30</v>
      </c>
      <c r="B9" s="33" t="str">
        <f>Реестр!P6</f>
        <v>-</v>
      </c>
      <c r="C9" s="20" t="s">
        <v>16</v>
      </c>
      <c r="D9" s="21"/>
      <c r="E9" s="21"/>
      <c r="F9" s="22">
        <f>E9-D9</f>
        <v>0</v>
      </c>
      <c r="G9" s="23" t="e">
        <f>G10*B3</f>
        <v>#VALUE!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M10*H3</f>
        <v>0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15" customHeight="1">
      <c r="C10" s="20" t="s">
        <v>17</v>
      </c>
      <c r="D10" s="24"/>
      <c r="E10" s="24"/>
      <c r="F10" s="24"/>
      <c r="G10" s="25">
        <f>'0. ГИРА'!G10</f>
        <v>24.617909529182487</v>
      </c>
      <c r="H10" s="24"/>
      <c r="I10" s="24"/>
      <c r="J10" s="25">
        <f>'0. ГИРА'!J10</f>
        <v>24.617909529182487</v>
      </c>
      <c r="K10" s="24"/>
      <c r="L10" s="24"/>
      <c r="M10" s="25">
        <f>'0. ГИРА'!M10</f>
        <v>20.514924607652073</v>
      </c>
      <c r="N10" s="24"/>
      <c r="O10" s="24"/>
      <c r="P10" s="25">
        <f>'0. ГИРА'!P10</f>
        <v>0</v>
      </c>
      <c r="Q10" s="24"/>
      <c r="R10" s="24"/>
      <c r="S10" s="25">
        <f>'0. ГИРА'!S10</f>
        <v>0</v>
      </c>
      <c r="T10" s="24"/>
      <c r="U10" s="24"/>
      <c r="V10" s="25">
        <f>'0. ГИРА'!V10</f>
        <v>0</v>
      </c>
      <c r="W10" s="24"/>
      <c r="X10" s="24"/>
      <c r="Y10" s="25">
        <f>'0. ГИРА'!Y10</f>
        <v>0</v>
      </c>
      <c r="Z10" s="24"/>
      <c r="AA10" s="24"/>
      <c r="AB10" s="25">
        <f>'0. ГИРА'!AB10</f>
        <v>0</v>
      </c>
      <c r="AC10" s="24"/>
      <c r="AD10" s="24"/>
      <c r="AE10" s="25">
        <f>'0. ГИРА'!AE10</f>
        <v>0</v>
      </c>
      <c r="AF10" s="24"/>
      <c r="AG10" s="24"/>
      <c r="AH10" s="25">
        <f>'0. ГИРА'!AH10</f>
        <v>0</v>
      </c>
      <c r="AI10" s="24"/>
      <c r="AJ10" s="24"/>
      <c r="AK10" s="25">
        <f>'0. ГИРА'!AK10</f>
        <v>0</v>
      </c>
      <c r="AL10" s="24"/>
      <c r="AM10" s="24"/>
      <c r="AN10" s="25">
        <f>'0. ГИРА'!AN10</f>
        <v>0</v>
      </c>
      <c r="AO10" s="24"/>
      <c r="AP10" s="24"/>
      <c r="AQ10" s="25">
        <f>'0. ГИРА'!AQ10</f>
        <v>0</v>
      </c>
      <c r="AR10" s="24"/>
      <c r="AS10" s="24"/>
      <c r="AT10" s="25">
        <f>'0. ГИРА'!AT10</f>
        <v>0</v>
      </c>
      <c r="AU10" s="24"/>
      <c r="AV10" s="24"/>
      <c r="AW10" s="25">
        <f>'0. ГИРА'!AW10</f>
        <v>0</v>
      </c>
      <c r="AX10" s="24"/>
      <c r="AY10" s="24"/>
      <c r="AZ10" s="25">
        <f>'0. ГИРА'!AZ10</f>
        <v>0</v>
      </c>
      <c r="BA10" s="24"/>
      <c r="BB10" s="24"/>
      <c r="BC10" s="25">
        <f>'0. ГИРА'!BC10</f>
        <v>0</v>
      </c>
      <c r="BD10" s="24"/>
      <c r="BE10" s="24"/>
      <c r="BF10" s="25">
        <f>'0. ГИРА'!BF10</f>
        <v>0</v>
      </c>
      <c r="BG10" s="24"/>
      <c r="BH10" s="24"/>
      <c r="BI10" s="25">
        <f>'0. ГИРА'!BI10</f>
        <v>0</v>
      </c>
      <c r="BJ10" s="24"/>
      <c r="BK10" s="24"/>
      <c r="BL10" s="25">
        <f>'0. ГИРА'!BL10</f>
        <v>0</v>
      </c>
      <c r="BM10" s="24"/>
      <c r="BN10" s="24"/>
      <c r="BO10" s="25">
        <f>'0. ГИРА'!BO10</f>
        <v>0</v>
      </c>
      <c r="BP10" s="24"/>
      <c r="BQ10" s="24"/>
      <c r="BR10" s="25">
        <f>'0. ГИРА'!BR10</f>
        <v>0</v>
      </c>
      <c r="BS10" s="24"/>
      <c r="BT10" s="24"/>
      <c r="BU10" s="25">
        <f>'0. ГИРА'!BU10</f>
        <v>0</v>
      </c>
      <c r="BV10" s="24"/>
      <c r="BW10" s="24"/>
      <c r="BX10" s="25">
        <f>'0. ГИРА'!BX10</f>
        <v>0</v>
      </c>
      <c r="BY10" s="24"/>
      <c r="BZ10" s="24"/>
      <c r="CA10" s="25">
        <f>'0. ГИРА'!CA10</f>
        <v>0</v>
      </c>
      <c r="CB10" s="24"/>
      <c r="CC10" s="24"/>
      <c r="CD10" s="25">
        <f>'0. ГИРА'!CD10</f>
        <v>0</v>
      </c>
    </row>
    <row r="11" spans="1:82">
      <c r="A11" s="67" t="s">
        <v>31</v>
      </c>
      <c r="B11" t="s">
        <v>35</v>
      </c>
      <c r="C11" s="26" t="s">
        <v>18</v>
      </c>
      <c r="D11" s="21"/>
      <c r="E11" s="21"/>
      <c r="F11" s="22">
        <f>E11-D11</f>
        <v>0</v>
      </c>
      <c r="G11" s="23"/>
      <c r="H11" s="21"/>
      <c r="I11" s="22">
        <f>H11-E11</f>
        <v>0</v>
      </c>
      <c r="J11" s="23">
        <f>J12*E3</f>
        <v>0</v>
      </c>
      <c r="K11" s="21"/>
      <c r="L11" s="22">
        <f>K11-H11</f>
        <v>0</v>
      </c>
      <c r="M11" s="23">
        <f>M12*H3</f>
        <v>0</v>
      </c>
      <c r="N11" s="21"/>
      <c r="O11" s="22">
        <f>N11-K11</f>
        <v>0</v>
      </c>
      <c r="P11" s="23">
        <f>P12*K3</f>
        <v>0</v>
      </c>
      <c r="Q11" s="21"/>
      <c r="R11" s="22">
        <f>Q11-N11</f>
        <v>0</v>
      </c>
      <c r="S11" s="23">
        <f>S12*N3</f>
        <v>0</v>
      </c>
      <c r="T11" s="21"/>
      <c r="U11" s="22">
        <f>T11-Q11</f>
        <v>0</v>
      </c>
      <c r="V11" s="23">
        <f>V12*Q3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'0. ГИРА'!G12</f>
        <v>12142.857142857143</v>
      </c>
      <c r="H12" s="24"/>
      <c r="I12" s="24"/>
      <c r="J12" s="25">
        <f>'0. ГИРА'!J12</f>
        <v>174.37685916504262</v>
      </c>
      <c r="K12" s="24"/>
      <c r="L12" s="24"/>
      <c r="M12" s="25">
        <f>'0. ГИРА'!M12</f>
        <v>102.57462303826036</v>
      </c>
      <c r="N12" s="24"/>
      <c r="O12" s="24"/>
      <c r="P12" s="25">
        <f>'0. ГИРА'!P12</f>
        <v>0</v>
      </c>
      <c r="Q12" s="24"/>
      <c r="R12" s="24"/>
      <c r="S12" s="25">
        <f>'0. ГИРА'!S12</f>
        <v>0</v>
      </c>
      <c r="T12" s="24"/>
      <c r="U12" s="24"/>
      <c r="V12" s="25">
        <f>'0. ГИРА'!V12</f>
        <v>0</v>
      </c>
      <c r="W12" s="24"/>
      <c r="X12" s="24"/>
      <c r="Y12" s="25">
        <f>'0. ГИРА'!Y12</f>
        <v>0</v>
      </c>
      <c r="Z12" s="24"/>
      <c r="AA12" s="24"/>
      <c r="AB12" s="25">
        <f>'0. ГИРА'!AB12</f>
        <v>0</v>
      </c>
      <c r="AC12" s="24"/>
      <c r="AD12" s="24"/>
      <c r="AE12" s="25">
        <f>'0. ГИРА'!AE12</f>
        <v>0</v>
      </c>
      <c r="AF12" s="24"/>
      <c r="AG12" s="24"/>
      <c r="AH12" s="25">
        <f>'0. ГИРА'!AH12</f>
        <v>0</v>
      </c>
      <c r="AI12" s="24"/>
      <c r="AJ12" s="24"/>
      <c r="AK12" s="25">
        <f>'0. ГИРА'!AK12</f>
        <v>0</v>
      </c>
      <c r="AL12" s="24"/>
      <c r="AM12" s="24"/>
      <c r="AN12" s="25">
        <f>'0. ГИРА'!AN12</f>
        <v>0</v>
      </c>
      <c r="AO12" s="24"/>
      <c r="AP12" s="24"/>
      <c r="AQ12" s="25">
        <f>'0. ГИРА'!AQ12</f>
        <v>0</v>
      </c>
      <c r="AR12" s="24"/>
      <c r="AS12" s="24"/>
      <c r="AT12" s="25">
        <f>'0. ГИРА'!AT12</f>
        <v>0</v>
      </c>
      <c r="AU12" s="24"/>
      <c r="AV12" s="24"/>
      <c r="AW12" s="25">
        <f>'0. ГИРА'!AW12</f>
        <v>0</v>
      </c>
      <c r="AX12" s="24"/>
      <c r="AY12" s="24"/>
      <c r="AZ12" s="25">
        <f>'0. ГИРА'!AZ12</f>
        <v>0</v>
      </c>
      <c r="BA12" s="24"/>
      <c r="BB12" s="24"/>
      <c r="BC12" s="25">
        <f>'0. ГИРА'!BC12</f>
        <v>0</v>
      </c>
      <c r="BD12" s="24"/>
      <c r="BE12" s="24"/>
      <c r="BF12" s="25">
        <f>'0. ГИРА'!BF12</f>
        <v>0</v>
      </c>
      <c r="BG12" s="24"/>
      <c r="BH12" s="24"/>
      <c r="BI12" s="25">
        <f>'0. ГИРА'!BI12</f>
        <v>0</v>
      </c>
      <c r="BJ12" s="24"/>
      <c r="BK12" s="24"/>
      <c r="BL12" s="25">
        <f>'0. ГИРА'!BL12</f>
        <v>0</v>
      </c>
      <c r="BM12" s="24"/>
      <c r="BN12" s="24"/>
      <c r="BO12" s="25">
        <f>'0. ГИРА'!BO12</f>
        <v>0</v>
      </c>
      <c r="BP12" s="24"/>
      <c r="BQ12" s="24"/>
      <c r="BR12" s="25">
        <f>'0. ГИРА'!BR12</f>
        <v>0</v>
      </c>
      <c r="BS12" s="24"/>
      <c r="BT12" s="24"/>
      <c r="BU12" s="25">
        <f>'0. ГИРА'!BU12</f>
        <v>0</v>
      </c>
      <c r="BV12" s="24"/>
      <c r="BW12" s="24"/>
      <c r="BX12" s="25">
        <f>'0. ГИРА'!BX12</f>
        <v>0</v>
      </c>
      <c r="BY12" s="24"/>
      <c r="BZ12" s="24"/>
      <c r="CA12" s="25">
        <f>'0. ГИРА'!CA12</f>
        <v>0</v>
      </c>
      <c r="CB12" s="24"/>
      <c r="CC12" s="24"/>
      <c r="CD12" s="25">
        <f>'0. ГИРА'!CD12</f>
        <v>0</v>
      </c>
    </row>
    <row r="13" spans="1:82">
      <c r="D13" s="14"/>
      <c r="E13" s="14"/>
      <c r="F13" s="15"/>
      <c r="G13" s="16"/>
    </row>
    <row r="14" spans="1:82">
      <c r="G14" s="16"/>
    </row>
    <row r="15" spans="1:82">
      <c r="G15" s="16"/>
    </row>
    <row r="16" spans="1:82">
      <c r="G16" s="16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14" sqref="G14"/>
    </sheetView>
  </sheetViews>
  <sheetFormatPr defaultColWidth="10" defaultRowHeight="15"/>
  <cols>
    <col min="1" max="1" width="13.140625" bestFit="1" customWidth="1"/>
    <col min="2" max="2" width="20.42578125" bestFit="1" customWidth="1"/>
    <col min="3" max="3" width="25.42578125" style="1" customWidth="1"/>
    <col min="4" max="4" width="7.42578125" bestFit="1" customWidth="1"/>
    <col min="5" max="5" width="6.42578125" bestFit="1" customWidth="1"/>
    <col min="6" max="6" width="9.85546875" style="1" bestFit="1" customWidth="1"/>
    <col min="7" max="7" width="9.42578125" style="1" customWidth="1"/>
    <col min="8" max="8" width="6.42578125" bestFit="1" customWidth="1"/>
    <col min="9" max="9" width="9.85546875" style="1" bestFit="1" customWidth="1"/>
    <col min="10" max="10" width="6.42578125" style="1" bestFit="1" customWidth="1"/>
    <col min="11" max="11" width="7.85546875" bestFit="1" customWidth="1"/>
    <col min="12" max="12" width="9.85546875" style="1" bestFit="1" customWidth="1"/>
    <col min="13" max="13" width="8.28515625" style="1" customWidth="1"/>
    <col min="14" max="14" width="7.42578125" bestFit="1" customWidth="1"/>
    <col min="15" max="15" width="9.85546875" style="1" bestFit="1" customWidth="1"/>
    <col min="16" max="16" width="8.28515625" style="1" bestFit="1" customWidth="1"/>
    <col min="17" max="17" width="6.42578125" bestFit="1" customWidth="1"/>
    <col min="18" max="18" width="9.85546875" style="1" bestFit="1" customWidth="1"/>
    <col min="19" max="19" width="8.28515625" style="1" bestFit="1" customWidth="1"/>
    <col min="20" max="20" width="7" bestFit="1" customWidth="1"/>
    <col min="21" max="21" width="9.85546875" style="1" bestFit="1" customWidth="1"/>
    <col min="22" max="22" width="8.28515625" style="1" bestFit="1" customWidth="1"/>
    <col min="23" max="23" width="8" bestFit="1" customWidth="1"/>
    <col min="24" max="24" width="9.85546875" style="1" bestFit="1" customWidth="1"/>
    <col min="25" max="25" width="8.28515625" style="1" bestFit="1" customWidth="1"/>
    <col min="26" max="26" width="8" bestFit="1" customWidth="1"/>
    <col min="27" max="27" width="9.85546875" style="1" bestFit="1" customWidth="1"/>
    <col min="28" max="28" width="8.28515625" style="1" bestFit="1" customWidth="1"/>
    <col min="29" max="29" width="6.140625" bestFit="1" customWidth="1"/>
    <col min="30" max="30" width="9.85546875" style="1" bestFit="1" customWidth="1"/>
    <col min="31" max="31" width="8.28515625" style="1" bestFit="1" customWidth="1"/>
    <col min="32" max="32" width="7.140625" bestFit="1" customWidth="1"/>
    <col min="33" max="33" width="9.85546875" style="1" bestFit="1" customWidth="1"/>
    <col min="34" max="34" width="8.28515625" style="1" bestFit="1" customWidth="1"/>
    <col min="35" max="35" width="6.28515625" bestFit="1" customWidth="1"/>
    <col min="36" max="36" width="9.85546875" style="1" bestFit="1" customWidth="1"/>
    <col min="37" max="37" width="8.28515625" style="1" bestFit="1" customWidth="1"/>
    <col min="38" max="38" width="7.42578125" bestFit="1" customWidth="1"/>
    <col min="39" max="39" width="9.85546875" style="1" bestFit="1" customWidth="1"/>
    <col min="40" max="40" width="8.28515625" style="1" bestFit="1" customWidth="1"/>
    <col min="41" max="41" width="6.42578125" bestFit="1" customWidth="1"/>
    <col min="42" max="42" width="9.85546875" style="1" bestFit="1" customWidth="1"/>
    <col min="43" max="43" width="8.28515625" style="1" bestFit="1" customWidth="1"/>
    <col min="44" max="44" width="6.42578125" bestFit="1" customWidth="1"/>
    <col min="45" max="45" width="9.85546875" style="1" bestFit="1" customWidth="1"/>
    <col min="46" max="46" width="8.28515625" style="1" bestFit="1" customWidth="1"/>
    <col min="47" max="47" width="7.85546875" bestFit="1" customWidth="1"/>
    <col min="48" max="48" width="9.85546875" bestFit="1" customWidth="1"/>
    <col min="49" max="49" width="8.28515625" bestFit="1" customWidth="1"/>
    <col min="50" max="50" width="7.42578125" bestFit="1" customWidth="1"/>
    <col min="51" max="51" width="9.85546875" bestFit="1" customWidth="1"/>
    <col min="52" max="52" width="8.28515625" bestFit="1" customWidth="1"/>
    <col min="53" max="53" width="6.42578125" bestFit="1" customWidth="1"/>
    <col min="54" max="54" width="9.85546875" bestFit="1" customWidth="1"/>
    <col min="55" max="55" width="8.28515625" bestFit="1" customWidth="1"/>
    <col min="56" max="56" width="7" bestFit="1" customWidth="1"/>
    <col min="57" max="57" width="9.85546875" bestFit="1" customWidth="1"/>
    <col min="58" max="58" width="8.28515625" bestFit="1" customWidth="1"/>
    <col min="59" max="59" width="8" bestFit="1" customWidth="1"/>
    <col min="60" max="60" width="9.85546875" bestFit="1" customWidth="1"/>
    <col min="61" max="61" width="8.28515625" bestFit="1" customWidth="1"/>
    <col min="62" max="62" width="8" bestFit="1" customWidth="1"/>
    <col min="63" max="63" width="9.85546875" bestFit="1" customWidth="1"/>
    <col min="64" max="64" width="8.28515625" bestFit="1" customWidth="1"/>
    <col min="65" max="65" width="6.140625" bestFit="1" customWidth="1"/>
    <col min="66" max="66" width="9.85546875" bestFit="1" customWidth="1"/>
    <col min="67" max="67" width="8.28515625" bestFit="1" customWidth="1"/>
    <col min="68" max="68" width="7.140625" bestFit="1" customWidth="1"/>
    <col min="69" max="69" width="9.85546875" bestFit="1" customWidth="1"/>
    <col min="70" max="70" width="8.28515625" bestFit="1" customWidth="1"/>
    <col min="71" max="71" width="6.28515625" bestFit="1" customWidth="1"/>
    <col min="72" max="72" width="9.85546875" bestFit="1" customWidth="1"/>
    <col min="73" max="73" width="8.28515625" bestFit="1" customWidth="1"/>
    <col min="74" max="74" width="7.42578125" bestFit="1" customWidth="1"/>
    <col min="75" max="75" width="9.85546875" bestFit="1" customWidth="1"/>
    <col min="76" max="76" width="8.28515625" bestFit="1" customWidth="1"/>
    <col min="77" max="77" width="6.42578125" bestFit="1" customWidth="1"/>
    <col min="78" max="78" width="9.85546875" bestFit="1" customWidth="1"/>
    <col min="79" max="79" width="8.28515625" bestFit="1" customWidth="1"/>
    <col min="80" max="80" width="6.42578125" bestFit="1" customWidth="1"/>
    <col min="81" max="81" width="9.85546875" bestFit="1" customWidth="1"/>
    <col min="82" max="82" width="6.42578125" bestFit="1" customWidth="1"/>
  </cols>
  <sheetData>
    <row r="1" spans="1:82">
      <c r="A1" s="33" t="s">
        <v>9</v>
      </c>
      <c r="B1" s="33" t="str">
        <f>Реестр!D7</f>
        <v>1111111111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Реестр!B7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>
      <c r="A3" s="33" t="s">
        <v>24</v>
      </c>
      <c r="B3" s="34" t="str">
        <f>Реестр!F7</f>
        <v>зож</v>
      </c>
      <c r="C3" s="20" t="s">
        <v>8</v>
      </c>
      <c r="D3" s="21"/>
      <c r="E3" s="21"/>
      <c r="F3" s="22">
        <f>E3-D3</f>
        <v>0</v>
      </c>
      <c r="G3" s="23">
        <f>F3*G4</f>
        <v>0</v>
      </c>
      <c r="H3" s="21"/>
      <c r="I3" s="22">
        <f>H3-E3</f>
        <v>0</v>
      </c>
      <c r="J3" s="23">
        <f>I3*J4</f>
        <v>0</v>
      </c>
      <c r="K3" s="21"/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 s="3" customFormat="1">
      <c r="A4" s="33" t="s">
        <v>7</v>
      </c>
      <c r="B4" s="34" t="str">
        <f>Реестр!H7</f>
        <v>K8888.0</v>
      </c>
      <c r="C4" s="20" t="s">
        <v>10</v>
      </c>
      <c r="D4" s="24"/>
      <c r="E4" s="24"/>
      <c r="F4" s="24"/>
      <c r="G4" s="25">
        <f>'0. ГИРА'!G4</f>
        <v>4.5000045000045001E-2</v>
      </c>
      <c r="H4" s="24"/>
      <c r="I4" s="24"/>
      <c r="J4" s="25">
        <f>'0. ГИРА'!J4</f>
        <v>0.19565259924478096</v>
      </c>
      <c r="K4" s="24"/>
      <c r="L4" s="24"/>
      <c r="M4" s="25">
        <f>'0. ГИРА'!M4</f>
        <v>9.1743119266055051E-3</v>
      </c>
      <c r="N4" s="24"/>
      <c r="O4" s="24"/>
      <c r="P4" s="25">
        <f>'0. ГИРА'!P4</f>
        <v>0</v>
      </c>
      <c r="Q4" s="24"/>
      <c r="R4" s="24"/>
      <c r="S4" s="25" t="e">
        <f>'0. ГИРА'!S4</f>
        <v>#DIV/0!</v>
      </c>
      <c r="T4" s="24"/>
      <c r="U4" s="24"/>
      <c r="V4" s="25" t="e">
        <f>'0. ГИРА'!V4</f>
        <v>#DIV/0!</v>
      </c>
      <c r="W4" s="24"/>
      <c r="X4" s="24"/>
      <c r="Y4" s="25" t="e">
        <f>'0. ГИРА'!Y4</f>
        <v>#DIV/0!</v>
      </c>
      <c r="Z4" s="24"/>
      <c r="AA4" s="24"/>
      <c r="AB4" s="25" t="e">
        <f>'0. ГИРА'!AB4</f>
        <v>#DIV/0!</v>
      </c>
      <c r="AC4" s="24"/>
      <c r="AD4" s="24"/>
      <c r="AE4" s="25" t="e">
        <f>'0. ГИРА'!AE4</f>
        <v>#DIV/0!</v>
      </c>
      <c r="AF4" s="24"/>
      <c r="AG4" s="24"/>
      <c r="AH4" s="25" t="e">
        <f>'0. ГИРА'!AH4</f>
        <v>#DIV/0!</v>
      </c>
      <c r="AI4" s="24"/>
      <c r="AJ4" s="24"/>
      <c r="AK4" s="25" t="e">
        <f>'0. ГИРА'!AK4</f>
        <v>#DIV/0!</v>
      </c>
      <c r="AL4" s="24"/>
      <c r="AM4" s="24"/>
      <c r="AN4" s="25" t="e">
        <f>'0. ГИРА'!AN4</f>
        <v>#DIV/0!</v>
      </c>
      <c r="AO4" s="24"/>
      <c r="AP4" s="24"/>
      <c r="AQ4" s="25" t="e">
        <f>'0. ГИРА'!AQ4</f>
        <v>#DIV/0!</v>
      </c>
      <c r="AR4" s="24"/>
      <c r="AS4" s="24"/>
      <c r="AT4" s="25" t="e">
        <f>'0. ГИРА'!AT4</f>
        <v>#DIV/0!</v>
      </c>
      <c r="AU4" s="24"/>
      <c r="AV4" s="24"/>
      <c r="AW4" s="25" t="e">
        <f>'0. ГИРА'!AW4</f>
        <v>#DIV/0!</v>
      </c>
      <c r="AX4" s="24"/>
      <c r="AY4" s="24"/>
      <c r="AZ4" s="25" t="e">
        <f>'0. ГИРА'!AZ4</f>
        <v>#DIV/0!</v>
      </c>
      <c r="BA4" s="24"/>
      <c r="BB4" s="24"/>
      <c r="BC4" s="25" t="e">
        <f>'0. ГИРА'!BC4</f>
        <v>#DIV/0!</v>
      </c>
      <c r="BD4" s="24"/>
      <c r="BE4" s="24"/>
      <c r="BF4" s="25" t="e">
        <f>'0. ГИРА'!BF4</f>
        <v>#DIV/0!</v>
      </c>
      <c r="BG4" s="24"/>
      <c r="BH4" s="24"/>
      <c r="BI4" s="25" t="e">
        <f>'0. ГИРА'!BI4</f>
        <v>#DIV/0!</v>
      </c>
      <c r="BJ4" s="24"/>
      <c r="BK4" s="24"/>
      <c r="BL4" s="25" t="e">
        <f>'0. ГИРА'!BL4</f>
        <v>#DIV/0!</v>
      </c>
      <c r="BM4" s="24"/>
      <c r="BN4" s="24"/>
      <c r="BO4" s="25" t="e">
        <f>'0. ГИРА'!BO4</f>
        <v>#DIV/0!</v>
      </c>
      <c r="BP4" s="24"/>
      <c r="BQ4" s="24"/>
      <c r="BR4" s="25" t="e">
        <f>'0. ГИРА'!BR4</f>
        <v>#DIV/0!</v>
      </c>
      <c r="BS4" s="24"/>
      <c r="BT4" s="24"/>
      <c r="BU4" s="25" t="e">
        <f>'0. ГИРА'!BU4</f>
        <v>#DIV/0!</v>
      </c>
      <c r="BV4" s="24"/>
      <c r="BW4" s="24"/>
      <c r="BX4" s="25" t="e">
        <f>'0. ГИРА'!BX4</f>
        <v>#DIV/0!</v>
      </c>
      <c r="BY4" s="24"/>
      <c r="BZ4" s="24"/>
      <c r="CA4" s="25" t="e">
        <f>'0. ГИРА'!CA4</f>
        <v>#DIV/0!</v>
      </c>
      <c r="CB4" s="24"/>
      <c r="CC4" s="24"/>
      <c r="CD4" s="25">
        <f>'0. ГИРА'!CD4</f>
        <v>0</v>
      </c>
    </row>
    <row r="5" spans="1:82" ht="15" customHeight="1">
      <c r="A5" s="36"/>
      <c r="B5" s="36"/>
      <c r="C5" s="30" t="s">
        <v>12</v>
      </c>
      <c r="D5" s="21"/>
      <c r="E5" s="21"/>
      <c r="F5" s="22">
        <f>E5-D5</f>
        <v>0</v>
      </c>
      <c r="G5" s="23"/>
      <c r="H5" s="21"/>
      <c r="I5" s="22">
        <f>H5-E5</f>
        <v>0</v>
      </c>
      <c r="J5" s="23"/>
      <c r="K5" s="21"/>
      <c r="L5" s="22">
        <f>K5-H5</f>
        <v>0</v>
      </c>
      <c r="M5" s="23"/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15" customHeight="1">
      <c r="A6" s="37" t="s">
        <v>26</v>
      </c>
      <c r="B6" s="34" t="str">
        <f>Реестр!M7</f>
        <v>-</v>
      </c>
      <c r="C6" s="30" t="s">
        <v>13</v>
      </c>
      <c r="D6" s="24"/>
      <c r="E6" s="24"/>
      <c r="F6" s="24"/>
      <c r="G6" s="25">
        <f>'0. ГИРА'!G6</f>
        <v>6.7500067500067498E-2</v>
      </c>
      <c r="H6" s="24"/>
      <c r="I6" s="24"/>
      <c r="J6" s="25">
        <f>'0. ГИРА'!J6</f>
        <v>0.14673944943358572</v>
      </c>
      <c r="K6" s="24"/>
      <c r="L6" s="24"/>
      <c r="M6" s="25">
        <f>'0. ГИРА'!M6</f>
        <v>-1.1069527173053609E-2</v>
      </c>
      <c r="N6" s="24"/>
      <c r="O6" s="24"/>
      <c r="P6" s="25">
        <f>'0. ГИРА'!P6</f>
        <v>0</v>
      </c>
      <c r="Q6" s="24"/>
      <c r="R6" s="24"/>
      <c r="S6" s="25" t="e">
        <f>'0. ГИРА'!S6</f>
        <v>#DIV/0!</v>
      </c>
      <c r="T6" s="24"/>
      <c r="U6" s="24"/>
      <c r="V6" s="25" t="e">
        <f>'0. ГИРА'!V6</f>
        <v>#DIV/0!</v>
      </c>
      <c r="W6" s="24"/>
      <c r="X6" s="24"/>
      <c r="Y6" s="25" t="e">
        <f>'0. ГИРА'!Y6</f>
        <v>#DIV/0!</v>
      </c>
      <c r="Z6" s="24"/>
      <c r="AA6" s="24"/>
      <c r="AB6" s="25" t="e">
        <f>'0. ГИРА'!AB6</f>
        <v>#DIV/0!</v>
      </c>
      <c r="AC6" s="24"/>
      <c r="AD6" s="24"/>
      <c r="AE6" s="25" t="e">
        <f>'0. ГИРА'!AE6</f>
        <v>#DIV/0!</v>
      </c>
      <c r="AF6" s="24"/>
      <c r="AG6" s="24"/>
      <c r="AH6" s="25" t="e">
        <f>'0. ГИРА'!AH6</f>
        <v>#DIV/0!</v>
      </c>
      <c r="AI6" s="24"/>
      <c r="AJ6" s="24"/>
      <c r="AK6" s="25" t="e">
        <f>'0. ГИРА'!AK6</f>
        <v>#DIV/0!</v>
      </c>
      <c r="AL6" s="24"/>
      <c r="AM6" s="24"/>
      <c r="AN6" s="25" t="e">
        <f>'0. ГИРА'!AN6</f>
        <v>#DIV/0!</v>
      </c>
      <c r="AO6" s="24"/>
      <c r="AP6" s="24"/>
      <c r="AQ6" s="25" t="e">
        <f>'0. ГИРА'!AQ6</f>
        <v>#DIV/0!</v>
      </c>
      <c r="AR6" s="24"/>
      <c r="AS6" s="24"/>
      <c r="AT6" s="25" t="e">
        <f>'0. ГИРА'!AT6</f>
        <v>#DIV/0!</v>
      </c>
      <c r="AU6" s="24"/>
      <c r="AV6" s="24"/>
      <c r="AW6" s="25" t="e">
        <f>'0. ГИРА'!AW6</f>
        <v>#DIV/0!</v>
      </c>
      <c r="AX6" s="24"/>
      <c r="AY6" s="24"/>
      <c r="AZ6" s="25" t="e">
        <f>'0. ГИРА'!AZ6</f>
        <v>#DIV/0!</v>
      </c>
      <c r="BA6" s="24"/>
      <c r="BB6" s="24"/>
      <c r="BC6" s="25" t="e">
        <f>'0. ГИРА'!BC6</f>
        <v>#DIV/0!</v>
      </c>
      <c r="BD6" s="24"/>
      <c r="BE6" s="24"/>
      <c r="BF6" s="25" t="e">
        <f>'0. ГИРА'!BF6</f>
        <v>#DIV/0!</v>
      </c>
      <c r="BG6" s="24"/>
      <c r="BH6" s="24"/>
      <c r="BI6" s="25" t="e">
        <f>'0. ГИРА'!BI6</f>
        <v>#DIV/0!</v>
      </c>
      <c r="BJ6" s="24"/>
      <c r="BK6" s="24"/>
      <c r="BL6" s="25" t="e">
        <f>'0. ГИРА'!BL6</f>
        <v>#DIV/0!</v>
      </c>
      <c r="BM6" s="24"/>
      <c r="BN6" s="24"/>
      <c r="BO6" s="25" t="e">
        <f>'0. ГИРА'!BO6</f>
        <v>#DIV/0!</v>
      </c>
      <c r="BP6" s="24"/>
      <c r="BQ6" s="24"/>
      <c r="BR6" s="25" t="e">
        <f>'0. ГИРА'!BR6</f>
        <v>#DIV/0!</v>
      </c>
      <c r="BS6" s="24"/>
      <c r="BT6" s="24"/>
      <c r="BU6" s="25" t="e">
        <f>'0. ГИРА'!BU6</f>
        <v>#DIV/0!</v>
      </c>
      <c r="BV6" s="24"/>
      <c r="BW6" s="24"/>
      <c r="BX6" s="25" t="e">
        <f>'0. ГИРА'!BX6</f>
        <v>#DIV/0!</v>
      </c>
      <c r="BY6" s="24"/>
      <c r="BZ6" s="24"/>
      <c r="CA6" s="25" t="e">
        <f>'0. ГИРА'!CA6</f>
        <v>#DIV/0!</v>
      </c>
      <c r="CB6" s="24"/>
      <c r="CC6" s="24"/>
      <c r="CD6" s="25">
        <f>'0. ГИРА'!CD6</f>
        <v>0</v>
      </c>
    </row>
    <row r="7" spans="1:82" ht="15" customHeight="1">
      <c r="A7" s="38" t="s">
        <v>27</v>
      </c>
      <c r="B7" s="33" t="str">
        <f>Реестр!N7</f>
        <v>89393374081</v>
      </c>
      <c r="C7" s="30" t="s">
        <v>14</v>
      </c>
      <c r="D7" s="68"/>
      <c r="E7" s="68"/>
      <c r="F7" s="69">
        <f>E7-D7</f>
        <v>0</v>
      </c>
      <c r="G7" s="70">
        <f>G8*F7</f>
        <v>0</v>
      </c>
      <c r="H7" s="68"/>
      <c r="I7" s="22">
        <f>H7-E7</f>
        <v>0</v>
      </c>
      <c r="J7" s="70">
        <f>J8*I7</f>
        <v>0</v>
      </c>
      <c r="K7" s="68"/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15" customHeight="1">
      <c r="A8" s="37" t="s">
        <v>29</v>
      </c>
      <c r="B8" s="34" t="str">
        <f>Реестр!O7</f>
        <v>-</v>
      </c>
      <c r="C8" s="30" t="s">
        <v>15</v>
      </c>
      <c r="D8" s="71"/>
      <c r="E8" s="71"/>
      <c r="F8" s="71"/>
      <c r="G8" s="72">
        <f>'0. ГИРА'!G8</f>
        <v>9.0000090000090002E-2</v>
      </c>
      <c r="H8" s="71"/>
      <c r="I8" s="71"/>
      <c r="J8" s="72">
        <f>'0. ГИРА'!J8</f>
        <v>0.19565259924478096</v>
      </c>
      <c r="K8" s="71"/>
      <c r="L8" s="71"/>
      <c r="M8" s="72">
        <f>'0. ГИРА'!M8</f>
        <v>-5.1392491801673927E-2</v>
      </c>
      <c r="N8" s="71"/>
      <c r="O8" s="71"/>
      <c r="P8" s="72">
        <f>'0. ГИРА'!P8</f>
        <v>0</v>
      </c>
      <c r="Q8" s="71"/>
      <c r="R8" s="71"/>
      <c r="S8" s="72" t="e">
        <f>'0. ГИРА'!S8</f>
        <v>#DIV/0!</v>
      </c>
      <c r="T8" s="71"/>
      <c r="U8" s="71"/>
      <c r="V8" s="72" t="e">
        <f>'0. ГИРА'!V8</f>
        <v>#DIV/0!</v>
      </c>
      <c r="W8" s="71"/>
      <c r="X8" s="71"/>
      <c r="Y8" s="72" t="e">
        <f>'0. ГИРА'!Y8</f>
        <v>#DIV/0!</v>
      </c>
      <c r="Z8" s="71"/>
      <c r="AA8" s="71"/>
      <c r="AB8" s="72" t="e">
        <f>'0. ГИРА'!AB8</f>
        <v>#DIV/0!</v>
      </c>
      <c r="AC8" s="71"/>
      <c r="AD8" s="71"/>
      <c r="AE8" s="72" t="e">
        <f>'0. ГИРА'!AE8</f>
        <v>#DIV/0!</v>
      </c>
      <c r="AF8" s="71"/>
      <c r="AG8" s="71"/>
      <c r="AH8" s="72" t="e">
        <f>'0. ГИРА'!AH8</f>
        <v>#DIV/0!</v>
      </c>
      <c r="AI8" s="71"/>
      <c r="AJ8" s="71"/>
      <c r="AK8" s="72" t="e">
        <f>'0. ГИРА'!AK8</f>
        <v>#DIV/0!</v>
      </c>
      <c r="AL8" s="71"/>
      <c r="AM8" s="71"/>
      <c r="AN8" s="72" t="e">
        <f>'0. ГИРА'!AN8</f>
        <v>#DIV/0!</v>
      </c>
      <c r="AO8" s="71"/>
      <c r="AP8" s="71"/>
      <c r="AQ8" s="72" t="e">
        <f>'0. ГИРА'!AQ8</f>
        <v>#DIV/0!</v>
      </c>
      <c r="AR8" s="71"/>
      <c r="AS8" s="71"/>
      <c r="AT8" s="72" t="e">
        <f>'0. ГИРА'!AT8</f>
        <v>#DIV/0!</v>
      </c>
      <c r="AU8" s="71"/>
      <c r="AV8" s="71"/>
      <c r="AW8" s="72" t="e">
        <f>'0. ГИРА'!AW8</f>
        <v>#DIV/0!</v>
      </c>
      <c r="AX8" s="71"/>
      <c r="AY8" s="71"/>
      <c r="AZ8" s="72" t="e">
        <f>'0. ГИРА'!AZ8</f>
        <v>#DIV/0!</v>
      </c>
      <c r="BA8" s="71"/>
      <c r="BB8" s="71"/>
      <c r="BC8" s="72" t="e">
        <f>'0. ГИРА'!BC8</f>
        <v>#DIV/0!</v>
      </c>
      <c r="BD8" s="71"/>
      <c r="BE8" s="71"/>
      <c r="BF8" s="72" t="e">
        <f>'0. ГИРА'!BF8</f>
        <v>#DIV/0!</v>
      </c>
      <c r="BG8" s="71"/>
      <c r="BH8" s="71"/>
      <c r="BI8" s="72" t="e">
        <f>'0. ГИРА'!BI8</f>
        <v>#DIV/0!</v>
      </c>
      <c r="BJ8" s="71"/>
      <c r="BK8" s="71"/>
      <c r="BL8" s="72" t="e">
        <f>'0. ГИРА'!BL8</f>
        <v>#DIV/0!</v>
      </c>
      <c r="BM8" s="71"/>
      <c r="BN8" s="71"/>
      <c r="BO8" s="72" t="e">
        <f>'0. ГИРА'!BO8</f>
        <v>#DIV/0!</v>
      </c>
      <c r="BP8" s="71"/>
      <c r="BQ8" s="71"/>
      <c r="BR8" s="72" t="e">
        <f>'0. ГИРА'!BR8</f>
        <v>#DIV/0!</v>
      </c>
      <c r="BS8" s="71"/>
      <c r="BT8" s="71"/>
      <c r="BU8" s="72" t="e">
        <f>'0. ГИРА'!BU8</f>
        <v>#DIV/0!</v>
      </c>
      <c r="BV8" s="71"/>
      <c r="BW8" s="71"/>
      <c r="BX8" s="72" t="e">
        <f>'0. ГИРА'!BX8</f>
        <v>#DIV/0!</v>
      </c>
      <c r="BY8" s="71"/>
      <c r="BZ8" s="71"/>
      <c r="CA8" s="72" t="e">
        <f>'0. ГИРА'!CA8</f>
        <v>#DIV/0!</v>
      </c>
      <c r="CB8" s="71"/>
      <c r="CC8" s="71"/>
      <c r="CD8" s="72">
        <f>'0. ГИРА'!CD8</f>
        <v>0</v>
      </c>
    </row>
    <row r="9" spans="1:82" ht="15" customHeight="1">
      <c r="A9" s="38" t="s">
        <v>30</v>
      </c>
      <c r="B9" s="33" t="str">
        <f>Реестр!P7</f>
        <v>-</v>
      </c>
      <c r="C9" s="20" t="s">
        <v>16</v>
      </c>
      <c r="D9" s="21"/>
      <c r="E9" s="21"/>
      <c r="F9" s="22">
        <f>E9-D9</f>
        <v>0</v>
      </c>
      <c r="G9" s="23" t="e">
        <f>G10*B3</f>
        <v>#VALUE!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M10*H3</f>
        <v>0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15" customHeight="1">
      <c r="C10" s="20" t="s">
        <v>17</v>
      </c>
      <c r="D10" s="24"/>
      <c r="E10" s="24"/>
      <c r="F10" s="24"/>
      <c r="G10" s="25">
        <f>'0. ГИРА'!G10</f>
        <v>24.617909529182487</v>
      </c>
      <c r="H10" s="24"/>
      <c r="I10" s="24"/>
      <c r="J10" s="25">
        <f>'0. ГИРА'!J10</f>
        <v>24.617909529182487</v>
      </c>
      <c r="K10" s="24"/>
      <c r="L10" s="24"/>
      <c r="M10" s="25">
        <f>'0. ГИРА'!M10</f>
        <v>20.514924607652073</v>
      </c>
      <c r="N10" s="24"/>
      <c r="O10" s="24"/>
      <c r="P10" s="25">
        <f>'0. ГИРА'!P10</f>
        <v>0</v>
      </c>
      <c r="Q10" s="24"/>
      <c r="R10" s="24"/>
      <c r="S10" s="25">
        <f>'0. ГИРА'!S10</f>
        <v>0</v>
      </c>
      <c r="T10" s="24"/>
      <c r="U10" s="24"/>
      <c r="V10" s="25">
        <f>'0. ГИРА'!V10</f>
        <v>0</v>
      </c>
      <c r="W10" s="24"/>
      <c r="X10" s="24"/>
      <c r="Y10" s="25">
        <f>'0. ГИРА'!Y10</f>
        <v>0</v>
      </c>
      <c r="Z10" s="24"/>
      <c r="AA10" s="24"/>
      <c r="AB10" s="25">
        <f>'0. ГИРА'!AB10</f>
        <v>0</v>
      </c>
      <c r="AC10" s="24"/>
      <c r="AD10" s="24"/>
      <c r="AE10" s="25">
        <f>'0. ГИРА'!AE10</f>
        <v>0</v>
      </c>
      <c r="AF10" s="24"/>
      <c r="AG10" s="24"/>
      <c r="AH10" s="25">
        <f>'0. ГИРА'!AH10</f>
        <v>0</v>
      </c>
      <c r="AI10" s="24"/>
      <c r="AJ10" s="24"/>
      <c r="AK10" s="25">
        <f>'0. ГИРА'!AK10</f>
        <v>0</v>
      </c>
      <c r="AL10" s="24"/>
      <c r="AM10" s="24"/>
      <c r="AN10" s="25">
        <f>'0. ГИРА'!AN10</f>
        <v>0</v>
      </c>
      <c r="AO10" s="24"/>
      <c r="AP10" s="24"/>
      <c r="AQ10" s="25">
        <f>'0. ГИРА'!AQ10</f>
        <v>0</v>
      </c>
      <c r="AR10" s="24"/>
      <c r="AS10" s="24"/>
      <c r="AT10" s="25">
        <f>'0. ГИРА'!AT10</f>
        <v>0</v>
      </c>
      <c r="AU10" s="24"/>
      <c r="AV10" s="24"/>
      <c r="AW10" s="25">
        <f>'0. ГИРА'!AW10</f>
        <v>0</v>
      </c>
      <c r="AX10" s="24"/>
      <c r="AY10" s="24"/>
      <c r="AZ10" s="25">
        <f>'0. ГИРА'!AZ10</f>
        <v>0</v>
      </c>
      <c r="BA10" s="24"/>
      <c r="BB10" s="24"/>
      <c r="BC10" s="25">
        <f>'0. ГИРА'!BC10</f>
        <v>0</v>
      </c>
      <c r="BD10" s="24"/>
      <c r="BE10" s="24"/>
      <c r="BF10" s="25">
        <f>'0. ГИРА'!BF10</f>
        <v>0</v>
      </c>
      <c r="BG10" s="24"/>
      <c r="BH10" s="24"/>
      <c r="BI10" s="25">
        <f>'0. ГИРА'!BI10</f>
        <v>0</v>
      </c>
      <c r="BJ10" s="24"/>
      <c r="BK10" s="24"/>
      <c r="BL10" s="25">
        <f>'0. ГИРА'!BL10</f>
        <v>0</v>
      </c>
      <c r="BM10" s="24"/>
      <c r="BN10" s="24"/>
      <c r="BO10" s="25">
        <f>'0. ГИРА'!BO10</f>
        <v>0</v>
      </c>
      <c r="BP10" s="24"/>
      <c r="BQ10" s="24"/>
      <c r="BR10" s="25">
        <f>'0. ГИРА'!BR10</f>
        <v>0</v>
      </c>
      <c r="BS10" s="24"/>
      <c r="BT10" s="24"/>
      <c r="BU10" s="25">
        <f>'0. ГИРА'!BU10</f>
        <v>0</v>
      </c>
      <c r="BV10" s="24"/>
      <c r="BW10" s="24"/>
      <c r="BX10" s="25">
        <f>'0. ГИРА'!BX10</f>
        <v>0</v>
      </c>
      <c r="BY10" s="24"/>
      <c r="BZ10" s="24"/>
      <c r="CA10" s="25">
        <f>'0. ГИРА'!CA10</f>
        <v>0</v>
      </c>
      <c r="CB10" s="24"/>
      <c r="CC10" s="24"/>
      <c r="CD10" s="25">
        <f>'0. ГИРА'!CD10</f>
        <v>0</v>
      </c>
    </row>
    <row r="11" spans="1:82">
      <c r="C11" s="26" t="s">
        <v>18</v>
      </c>
      <c r="D11" s="21"/>
      <c r="E11" s="21"/>
      <c r="F11" s="22">
        <f>E11-D11</f>
        <v>0</v>
      </c>
      <c r="G11" s="23"/>
      <c r="H11" s="21"/>
      <c r="I11" s="22">
        <f>H11-E11</f>
        <v>0</v>
      </c>
      <c r="J11" s="23">
        <f>J12*E3</f>
        <v>0</v>
      </c>
      <c r="K11" s="21"/>
      <c r="L11" s="22">
        <f>K11-H11</f>
        <v>0</v>
      </c>
      <c r="M11" s="23">
        <f>M12*H3</f>
        <v>0</v>
      </c>
      <c r="N11" s="21"/>
      <c r="O11" s="22">
        <f>N11-K11</f>
        <v>0</v>
      </c>
      <c r="P11" s="23">
        <f>P12*K3</f>
        <v>0</v>
      </c>
      <c r="Q11" s="21"/>
      <c r="R11" s="22">
        <f>Q11-N11</f>
        <v>0</v>
      </c>
      <c r="S11" s="23">
        <f>S12*N3</f>
        <v>0</v>
      </c>
      <c r="T11" s="21"/>
      <c r="U11" s="22">
        <f>T11-Q11</f>
        <v>0</v>
      </c>
      <c r="V11" s="23">
        <f>V12*Q3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A12" s="67" t="s">
        <v>31</v>
      </c>
      <c r="B12">
        <f>Реестр!J7</f>
        <v>0</v>
      </c>
      <c r="C12" s="26" t="s">
        <v>19</v>
      </c>
      <c r="D12" s="24"/>
      <c r="E12" s="24"/>
      <c r="F12" s="24"/>
      <c r="G12" s="25">
        <f>'0. ГИРА'!G12</f>
        <v>12142.857142857143</v>
      </c>
      <c r="H12" s="24"/>
      <c r="I12" s="24"/>
      <c r="J12" s="25">
        <f>'0. ГИРА'!J12</f>
        <v>174.37685916504262</v>
      </c>
      <c r="K12" s="24"/>
      <c r="L12" s="24"/>
      <c r="M12" s="25">
        <f>'0. ГИРА'!M12</f>
        <v>102.57462303826036</v>
      </c>
      <c r="N12" s="24"/>
      <c r="O12" s="24"/>
      <c r="P12" s="25">
        <f>'0. ГИРА'!P12</f>
        <v>0</v>
      </c>
      <c r="Q12" s="24"/>
      <c r="R12" s="24"/>
      <c r="S12" s="25">
        <f>'0. ГИРА'!S12</f>
        <v>0</v>
      </c>
      <c r="T12" s="24"/>
      <c r="U12" s="24"/>
      <c r="V12" s="25">
        <f>'0. ГИРА'!V12</f>
        <v>0</v>
      </c>
      <c r="W12" s="24"/>
      <c r="X12" s="24"/>
      <c r="Y12" s="25">
        <f>'0. ГИРА'!Y12</f>
        <v>0</v>
      </c>
      <c r="Z12" s="24"/>
      <c r="AA12" s="24"/>
      <c r="AB12" s="25">
        <f>'0. ГИРА'!AB12</f>
        <v>0</v>
      </c>
      <c r="AC12" s="24"/>
      <c r="AD12" s="24"/>
      <c r="AE12" s="25">
        <f>'0. ГИРА'!AE12</f>
        <v>0</v>
      </c>
      <c r="AF12" s="24"/>
      <c r="AG12" s="24"/>
      <c r="AH12" s="25">
        <f>'0. ГИРА'!AH12</f>
        <v>0</v>
      </c>
      <c r="AI12" s="24"/>
      <c r="AJ12" s="24"/>
      <c r="AK12" s="25">
        <f>'0. ГИРА'!AK12</f>
        <v>0</v>
      </c>
      <c r="AL12" s="24"/>
      <c r="AM12" s="24"/>
      <c r="AN12" s="25">
        <f>'0. ГИРА'!AN12</f>
        <v>0</v>
      </c>
      <c r="AO12" s="24"/>
      <c r="AP12" s="24"/>
      <c r="AQ12" s="25">
        <f>'0. ГИРА'!AQ12</f>
        <v>0</v>
      </c>
      <c r="AR12" s="24"/>
      <c r="AS12" s="24"/>
      <c r="AT12" s="25">
        <f>'0. ГИРА'!AT12</f>
        <v>0</v>
      </c>
      <c r="AU12" s="24"/>
      <c r="AV12" s="24"/>
      <c r="AW12" s="25">
        <f>'0. ГИРА'!AW12</f>
        <v>0</v>
      </c>
      <c r="AX12" s="24"/>
      <c r="AY12" s="24"/>
      <c r="AZ12" s="25">
        <f>'0. ГИРА'!AZ12</f>
        <v>0</v>
      </c>
      <c r="BA12" s="24"/>
      <c r="BB12" s="24"/>
      <c r="BC12" s="25">
        <f>'0. ГИРА'!BC12</f>
        <v>0</v>
      </c>
      <c r="BD12" s="24"/>
      <c r="BE12" s="24"/>
      <c r="BF12" s="25">
        <f>'0. ГИРА'!BF12</f>
        <v>0</v>
      </c>
      <c r="BG12" s="24"/>
      <c r="BH12" s="24"/>
      <c r="BI12" s="25">
        <f>'0. ГИРА'!BI12</f>
        <v>0</v>
      </c>
      <c r="BJ12" s="24"/>
      <c r="BK12" s="24"/>
      <c r="BL12" s="25">
        <f>'0. ГИРА'!BL12</f>
        <v>0</v>
      </c>
      <c r="BM12" s="24"/>
      <c r="BN12" s="24"/>
      <c r="BO12" s="25">
        <f>'0. ГИРА'!BO12</f>
        <v>0</v>
      </c>
      <c r="BP12" s="24"/>
      <c r="BQ12" s="24"/>
      <c r="BR12" s="25">
        <f>'0. ГИРА'!BR12</f>
        <v>0</v>
      </c>
      <c r="BS12" s="24"/>
      <c r="BT12" s="24"/>
      <c r="BU12" s="25">
        <f>'0. ГИРА'!BU12</f>
        <v>0</v>
      </c>
      <c r="BV12" s="24"/>
      <c r="BW12" s="24"/>
      <c r="BX12" s="25">
        <f>'0. ГИРА'!BX12</f>
        <v>0</v>
      </c>
      <c r="BY12" s="24"/>
      <c r="BZ12" s="24"/>
      <c r="CA12" s="25">
        <f>'0. ГИРА'!CA12</f>
        <v>0</v>
      </c>
      <c r="CB12" s="24"/>
      <c r="CC12" s="24"/>
      <c r="CD12" s="25">
        <f>'0. ГИРА'!CD12</f>
        <v>0</v>
      </c>
    </row>
    <row r="13" spans="1:82">
      <c r="D13" s="14"/>
      <c r="E13" s="14"/>
      <c r="F13" s="15"/>
      <c r="G13" s="16"/>
    </row>
    <row r="14" spans="1:82">
      <c r="G14" s="16"/>
    </row>
    <row r="15" spans="1:82">
      <c r="G15" s="16"/>
    </row>
    <row r="16" spans="1:82">
      <c r="G16" s="16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defaultColWidth="11.42578125" defaultRowHeight="15"/>
  <cols>
    <col min="1" max="1" width="14.85546875" customWidth="1"/>
    <col min="2" max="2" width="16.42578125" customWidth="1"/>
    <col min="3" max="3" width="25.42578125" style="1" customWidth="1"/>
    <col min="4" max="4" width="7.42578125" bestFit="1" customWidth="1"/>
    <col min="5" max="5" width="6.42578125" bestFit="1" customWidth="1"/>
    <col min="6" max="6" width="9.85546875" style="1" bestFit="1" customWidth="1"/>
    <col min="7" max="7" width="10.140625" style="1" customWidth="1"/>
    <col min="8" max="8" width="9.7109375" customWidth="1"/>
    <col min="9" max="9" width="9.85546875" style="1" bestFit="1" customWidth="1"/>
    <col min="10" max="10" width="9.42578125" style="1" customWidth="1"/>
    <col min="11" max="11" width="7.85546875" bestFit="1" customWidth="1"/>
    <col min="12" max="12" width="9.85546875" style="1" bestFit="1" customWidth="1"/>
    <col min="13" max="13" width="8.28515625" style="1" customWidth="1"/>
    <col min="14" max="14" width="7.42578125" bestFit="1" customWidth="1"/>
    <col min="15" max="15" width="9.85546875" style="1" bestFit="1" customWidth="1"/>
    <col min="16" max="16" width="8.28515625" style="1" bestFit="1" customWidth="1"/>
    <col min="17" max="17" width="6.42578125" bestFit="1" customWidth="1"/>
    <col min="18" max="18" width="9.85546875" style="1" bestFit="1" customWidth="1"/>
    <col min="19" max="19" width="8.28515625" style="1" bestFit="1" customWidth="1"/>
    <col min="20" max="20" width="7" bestFit="1" customWidth="1"/>
    <col min="21" max="21" width="9.85546875" style="1" bestFit="1" customWidth="1"/>
    <col min="22" max="22" width="8.28515625" style="1" bestFit="1" customWidth="1"/>
    <col min="23" max="23" width="8" bestFit="1" customWidth="1"/>
    <col min="24" max="24" width="9.85546875" style="1" bestFit="1" customWidth="1"/>
    <col min="25" max="25" width="8.28515625" style="1" bestFit="1" customWidth="1"/>
    <col min="26" max="26" width="8" bestFit="1" customWidth="1"/>
    <col min="27" max="27" width="9.85546875" style="1" bestFit="1" customWidth="1"/>
    <col min="28" max="28" width="8.28515625" style="1" bestFit="1" customWidth="1"/>
    <col min="29" max="29" width="6.140625" bestFit="1" customWidth="1"/>
    <col min="30" max="30" width="9.85546875" style="1" bestFit="1" customWidth="1"/>
    <col min="31" max="31" width="8.28515625" style="1" bestFit="1" customWidth="1"/>
    <col min="32" max="32" width="7.140625" bestFit="1" customWidth="1"/>
    <col min="33" max="33" width="9.85546875" style="1" bestFit="1" customWidth="1"/>
    <col min="34" max="34" width="8.28515625" style="1" bestFit="1" customWidth="1"/>
    <col min="35" max="35" width="6.28515625" bestFit="1" customWidth="1"/>
    <col min="36" max="36" width="9.85546875" style="1" bestFit="1" customWidth="1"/>
    <col min="37" max="37" width="8.28515625" style="1" bestFit="1" customWidth="1"/>
    <col min="38" max="38" width="7.42578125" bestFit="1" customWidth="1"/>
    <col min="39" max="39" width="9.85546875" style="1" bestFit="1" customWidth="1"/>
    <col min="40" max="40" width="8.28515625" style="1" bestFit="1" customWidth="1"/>
    <col min="41" max="41" width="6.42578125" bestFit="1" customWidth="1"/>
    <col min="42" max="42" width="9.85546875" style="1" bestFit="1" customWidth="1"/>
    <col min="43" max="43" width="8.28515625" style="1" bestFit="1" customWidth="1"/>
    <col min="44" max="44" width="6.42578125" bestFit="1" customWidth="1"/>
    <col min="45" max="45" width="9.85546875" style="1" bestFit="1" customWidth="1"/>
    <col min="46" max="46" width="8.28515625" style="1" bestFit="1" customWidth="1"/>
    <col min="47" max="47" width="7.85546875" bestFit="1" customWidth="1"/>
    <col min="48" max="48" width="9.85546875" bestFit="1" customWidth="1"/>
    <col min="49" max="49" width="8.28515625" bestFit="1" customWidth="1"/>
    <col min="50" max="50" width="7.42578125" bestFit="1" customWidth="1"/>
    <col min="51" max="51" width="9.85546875" bestFit="1" customWidth="1"/>
    <col min="52" max="52" width="8.28515625" bestFit="1" customWidth="1"/>
    <col min="53" max="53" width="6.42578125" bestFit="1" customWidth="1"/>
    <col min="54" max="54" width="9.85546875" bestFit="1" customWidth="1"/>
    <col min="55" max="55" width="8.28515625" bestFit="1" customWidth="1"/>
    <col min="56" max="56" width="7" bestFit="1" customWidth="1"/>
    <col min="57" max="57" width="9.85546875" bestFit="1" customWidth="1"/>
    <col min="58" max="58" width="8.28515625" bestFit="1" customWidth="1"/>
    <col min="59" max="59" width="8" bestFit="1" customWidth="1"/>
    <col min="60" max="60" width="9.85546875" bestFit="1" customWidth="1"/>
    <col min="61" max="61" width="8.28515625" bestFit="1" customWidth="1"/>
    <col min="62" max="62" width="8" bestFit="1" customWidth="1"/>
    <col min="63" max="63" width="9.85546875" bestFit="1" customWidth="1"/>
    <col min="64" max="64" width="8.28515625" bestFit="1" customWidth="1"/>
    <col min="65" max="65" width="6.140625" bestFit="1" customWidth="1"/>
    <col min="66" max="66" width="9.85546875" bestFit="1" customWidth="1"/>
    <col min="67" max="67" width="8.28515625" bestFit="1" customWidth="1"/>
    <col min="68" max="68" width="7.140625" bestFit="1" customWidth="1"/>
    <col min="69" max="69" width="9.85546875" bestFit="1" customWidth="1"/>
    <col min="70" max="70" width="8.28515625" bestFit="1" customWidth="1"/>
    <col min="71" max="71" width="6.28515625" bestFit="1" customWidth="1"/>
    <col min="72" max="72" width="9.85546875" bestFit="1" customWidth="1"/>
    <col min="73" max="73" width="8.28515625" bestFit="1" customWidth="1"/>
    <col min="74" max="74" width="7.42578125" bestFit="1" customWidth="1"/>
    <col min="75" max="75" width="9.85546875" bestFit="1" customWidth="1"/>
    <col min="76" max="76" width="8.28515625" bestFit="1" customWidth="1"/>
    <col min="77" max="77" width="6.42578125" bestFit="1" customWidth="1"/>
    <col min="78" max="78" width="9.85546875" bestFit="1" customWidth="1"/>
    <col min="79" max="79" width="8.28515625" bestFit="1" customWidth="1"/>
    <col min="80" max="80" width="6.42578125" bestFit="1" customWidth="1"/>
    <col min="81" max="81" width="9.85546875" bestFit="1" customWidth="1"/>
    <col min="82" max="82" width="6.42578125" bestFit="1" customWidth="1"/>
  </cols>
  <sheetData>
    <row r="1" spans="1:82">
      <c r="A1" s="33" t="s">
        <v>9</v>
      </c>
      <c r="B1" s="33" t="e">
        <f>Реестр!#REF!</f>
        <v>#REF!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e">
        <f>Реестр!#REF!</f>
        <v>#REF!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>
      <c r="A3" s="33" t="s">
        <v>24</v>
      </c>
      <c r="B3" s="34" t="e">
        <f>Реестр!#REF!</f>
        <v>#REF!</v>
      </c>
      <c r="C3" s="20" t="s">
        <v>8</v>
      </c>
      <c r="D3" s="21"/>
      <c r="E3" s="21"/>
      <c r="F3" s="22">
        <f>E3-D3</f>
        <v>0</v>
      </c>
      <c r="G3" s="23">
        <f>F3*G4</f>
        <v>0</v>
      </c>
      <c r="H3" s="21"/>
      <c r="I3" s="22">
        <f>H3-E3</f>
        <v>0</v>
      </c>
      <c r="J3" s="23">
        <f>I3*J4</f>
        <v>0</v>
      </c>
      <c r="K3" s="21"/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>
      <c r="A4" s="33" t="s">
        <v>7</v>
      </c>
      <c r="B4" s="34" t="e">
        <f>Реестр!#REF!</f>
        <v>#REF!</v>
      </c>
      <c r="C4" s="20" t="s">
        <v>10</v>
      </c>
      <c r="D4" s="24"/>
      <c r="E4" s="24"/>
      <c r="F4" s="24"/>
      <c r="G4" s="25">
        <f>'0. ГИРА'!G4</f>
        <v>4.5000045000045001E-2</v>
      </c>
      <c r="H4" s="24"/>
      <c r="I4" s="24"/>
      <c r="J4" s="25">
        <f>'0. ГИРА'!J4</f>
        <v>0.19565259924478096</v>
      </c>
      <c r="K4" s="24"/>
      <c r="L4" s="24"/>
      <c r="M4" s="25">
        <f>'0. ГИРА'!M4</f>
        <v>9.1743119266055051E-3</v>
      </c>
      <c r="N4" s="24"/>
      <c r="O4" s="24"/>
      <c r="P4" s="25">
        <f>'0. ГИРА'!P4</f>
        <v>0</v>
      </c>
      <c r="Q4" s="24"/>
      <c r="R4" s="24"/>
      <c r="S4" s="25" t="e">
        <f>'0. ГИРА'!S4</f>
        <v>#DIV/0!</v>
      </c>
      <c r="T4" s="24"/>
      <c r="U4" s="24"/>
      <c r="V4" s="25" t="e">
        <f>'0. ГИРА'!V4</f>
        <v>#DIV/0!</v>
      </c>
      <c r="W4" s="24"/>
      <c r="X4" s="24"/>
      <c r="Y4" s="25" t="e">
        <f>'0. ГИРА'!Y4</f>
        <v>#DIV/0!</v>
      </c>
      <c r="Z4" s="24"/>
      <c r="AA4" s="24"/>
      <c r="AB4" s="25" t="e">
        <f>'0. ГИРА'!AB4</f>
        <v>#DIV/0!</v>
      </c>
      <c r="AC4" s="24"/>
      <c r="AD4" s="24"/>
      <c r="AE4" s="25" t="e">
        <f>'0. ГИРА'!AE4</f>
        <v>#DIV/0!</v>
      </c>
      <c r="AF4" s="24"/>
      <c r="AG4" s="24"/>
      <c r="AH4" s="25" t="e">
        <f>'0. ГИРА'!AH4</f>
        <v>#DIV/0!</v>
      </c>
      <c r="AI4" s="24"/>
      <c r="AJ4" s="24"/>
      <c r="AK4" s="25" t="e">
        <f>'0. ГИРА'!AK4</f>
        <v>#DIV/0!</v>
      </c>
      <c r="AL4" s="24"/>
      <c r="AM4" s="24"/>
      <c r="AN4" s="25" t="e">
        <f>'0. ГИРА'!AN4</f>
        <v>#DIV/0!</v>
      </c>
      <c r="AO4" s="24"/>
      <c r="AP4" s="24"/>
      <c r="AQ4" s="25" t="e">
        <f>'0. ГИРА'!AQ4</f>
        <v>#DIV/0!</v>
      </c>
      <c r="AR4" s="24"/>
      <c r="AS4" s="24"/>
      <c r="AT4" s="25" t="e">
        <f>'0. ГИРА'!AT4</f>
        <v>#DIV/0!</v>
      </c>
      <c r="AU4" s="24"/>
      <c r="AV4" s="24"/>
      <c r="AW4" s="25" t="e">
        <f>'0. ГИРА'!AW4</f>
        <v>#DIV/0!</v>
      </c>
      <c r="AX4" s="24"/>
      <c r="AY4" s="24"/>
      <c r="AZ4" s="25" t="e">
        <f>'0. ГИРА'!AZ4</f>
        <v>#DIV/0!</v>
      </c>
      <c r="BA4" s="24"/>
      <c r="BB4" s="24"/>
      <c r="BC4" s="25" t="e">
        <f>'0. ГИРА'!BC4</f>
        <v>#DIV/0!</v>
      </c>
      <c r="BD4" s="24"/>
      <c r="BE4" s="24"/>
      <c r="BF4" s="25" t="e">
        <f>'0. ГИРА'!BF4</f>
        <v>#DIV/0!</v>
      </c>
      <c r="BG4" s="24"/>
      <c r="BH4" s="24"/>
      <c r="BI4" s="25" t="e">
        <f>'0. ГИРА'!BI4</f>
        <v>#DIV/0!</v>
      </c>
      <c r="BJ4" s="24"/>
      <c r="BK4" s="24"/>
      <c r="BL4" s="25" t="e">
        <f>'0. ГИРА'!BL4</f>
        <v>#DIV/0!</v>
      </c>
      <c r="BM4" s="24"/>
      <c r="BN4" s="24"/>
      <c r="BO4" s="25" t="e">
        <f>'0. ГИРА'!BO4</f>
        <v>#DIV/0!</v>
      </c>
      <c r="BP4" s="24"/>
      <c r="BQ4" s="24"/>
      <c r="BR4" s="25" t="e">
        <f>'0. ГИРА'!BR4</f>
        <v>#DIV/0!</v>
      </c>
      <c r="BS4" s="24"/>
      <c r="BT4" s="24"/>
      <c r="BU4" s="25" t="e">
        <f>'0. ГИРА'!BU4</f>
        <v>#DIV/0!</v>
      </c>
      <c r="BV4" s="24"/>
      <c r="BW4" s="24"/>
      <c r="BX4" s="25" t="e">
        <f>'0. ГИРА'!BX4</f>
        <v>#DIV/0!</v>
      </c>
      <c r="BY4" s="24"/>
      <c r="BZ4" s="24"/>
      <c r="CA4" s="25" t="e">
        <f>'0. ГИРА'!CA4</f>
        <v>#DIV/0!</v>
      </c>
      <c r="CB4" s="24"/>
      <c r="CC4" s="24"/>
      <c r="CD4" s="25">
        <f>'0. ГИРА'!CD4</f>
        <v>0</v>
      </c>
    </row>
    <row r="5" spans="1:82" ht="30" customHeight="1">
      <c r="A5" s="36"/>
      <c r="B5" s="36"/>
      <c r="C5" s="30" t="s">
        <v>12</v>
      </c>
      <c r="D5" s="21"/>
      <c r="E5" s="21"/>
      <c r="F5" s="22">
        <f>E5-D5</f>
        <v>0</v>
      </c>
      <c r="G5" s="23"/>
      <c r="H5" s="21">
        <v>22222</v>
      </c>
      <c r="I5" s="22">
        <f>H5-E5</f>
        <v>22222</v>
      </c>
      <c r="J5" s="23"/>
      <c r="K5" s="21"/>
      <c r="L5" s="22">
        <f>K5-H5</f>
        <v>-22222</v>
      </c>
      <c r="M5" s="23"/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30" customHeight="1">
      <c r="A6" s="37" t="s">
        <v>26</v>
      </c>
      <c r="B6" s="34" t="e">
        <f>Реестр!#REF!</f>
        <v>#REF!</v>
      </c>
      <c r="C6" s="30" t="s">
        <v>13</v>
      </c>
      <c r="D6" s="24"/>
      <c r="E6" s="24"/>
      <c r="F6" s="24"/>
      <c r="G6" s="25">
        <f>'0. ГИРА'!G6</f>
        <v>6.7500067500067498E-2</v>
      </c>
      <c r="H6" s="24"/>
      <c r="I6" s="24"/>
      <c r="J6" s="25">
        <f>'0. ГИРА'!J6</f>
        <v>0.14673944943358572</v>
      </c>
      <c r="K6" s="24"/>
      <c r="L6" s="24"/>
      <c r="M6" s="25">
        <f>'0. ГИРА'!M6</f>
        <v>-1.1069527173053609E-2</v>
      </c>
      <c r="N6" s="24"/>
      <c r="O6" s="24"/>
      <c r="P6" s="25">
        <f>'0. ГИРА'!P6</f>
        <v>0</v>
      </c>
      <c r="Q6" s="24"/>
      <c r="R6" s="24"/>
      <c r="S6" s="25" t="e">
        <f>'0. ГИРА'!S6</f>
        <v>#DIV/0!</v>
      </c>
      <c r="T6" s="24"/>
      <c r="U6" s="24"/>
      <c r="V6" s="25" t="e">
        <f>'0. ГИРА'!V6</f>
        <v>#DIV/0!</v>
      </c>
      <c r="W6" s="24"/>
      <c r="X6" s="24"/>
      <c r="Y6" s="25" t="e">
        <f>'0. ГИРА'!Y6</f>
        <v>#DIV/0!</v>
      </c>
      <c r="Z6" s="24"/>
      <c r="AA6" s="24"/>
      <c r="AB6" s="25" t="e">
        <f>'0. ГИРА'!AB6</f>
        <v>#DIV/0!</v>
      </c>
      <c r="AC6" s="24"/>
      <c r="AD6" s="24"/>
      <c r="AE6" s="25" t="e">
        <f>'0. ГИРА'!AE6</f>
        <v>#DIV/0!</v>
      </c>
      <c r="AF6" s="24"/>
      <c r="AG6" s="24"/>
      <c r="AH6" s="25" t="e">
        <f>'0. ГИРА'!AH6</f>
        <v>#DIV/0!</v>
      </c>
      <c r="AI6" s="24"/>
      <c r="AJ6" s="24"/>
      <c r="AK6" s="25" t="e">
        <f>'0. ГИРА'!AK6</f>
        <v>#DIV/0!</v>
      </c>
      <c r="AL6" s="24"/>
      <c r="AM6" s="24"/>
      <c r="AN6" s="25" t="e">
        <f>'0. ГИРА'!AN6</f>
        <v>#DIV/0!</v>
      </c>
      <c r="AO6" s="24"/>
      <c r="AP6" s="24"/>
      <c r="AQ6" s="25" t="e">
        <f>'0. ГИРА'!AQ6</f>
        <v>#DIV/0!</v>
      </c>
      <c r="AR6" s="24"/>
      <c r="AS6" s="24"/>
      <c r="AT6" s="25" t="e">
        <f>'0. ГИРА'!AT6</f>
        <v>#DIV/0!</v>
      </c>
      <c r="AU6" s="24"/>
      <c r="AV6" s="24"/>
      <c r="AW6" s="25" t="e">
        <f>'0. ГИРА'!AW6</f>
        <v>#DIV/0!</v>
      </c>
      <c r="AX6" s="24"/>
      <c r="AY6" s="24"/>
      <c r="AZ6" s="25" t="e">
        <f>'0. ГИРА'!AZ6</f>
        <v>#DIV/0!</v>
      </c>
      <c r="BA6" s="24"/>
      <c r="BB6" s="24"/>
      <c r="BC6" s="25" t="e">
        <f>'0. ГИРА'!BC6</f>
        <v>#DIV/0!</v>
      </c>
      <c r="BD6" s="24"/>
      <c r="BE6" s="24"/>
      <c r="BF6" s="25" t="e">
        <f>'0. ГИРА'!BF6</f>
        <v>#DIV/0!</v>
      </c>
      <c r="BG6" s="24"/>
      <c r="BH6" s="24"/>
      <c r="BI6" s="25" t="e">
        <f>'0. ГИРА'!BI6</f>
        <v>#DIV/0!</v>
      </c>
      <c r="BJ6" s="24"/>
      <c r="BK6" s="24"/>
      <c r="BL6" s="25" t="e">
        <f>'0. ГИРА'!BL6</f>
        <v>#DIV/0!</v>
      </c>
      <c r="BM6" s="24"/>
      <c r="BN6" s="24"/>
      <c r="BO6" s="25" t="e">
        <f>'0. ГИРА'!BO6</f>
        <v>#DIV/0!</v>
      </c>
      <c r="BP6" s="24"/>
      <c r="BQ6" s="24"/>
      <c r="BR6" s="25" t="e">
        <f>'0. ГИРА'!BR6</f>
        <v>#DIV/0!</v>
      </c>
      <c r="BS6" s="24"/>
      <c r="BT6" s="24"/>
      <c r="BU6" s="25" t="e">
        <f>'0. ГИРА'!BU6</f>
        <v>#DIV/0!</v>
      </c>
      <c r="BV6" s="24"/>
      <c r="BW6" s="24"/>
      <c r="BX6" s="25" t="e">
        <f>'0. ГИРА'!BX6</f>
        <v>#DIV/0!</v>
      </c>
      <c r="BY6" s="24"/>
      <c r="BZ6" s="24"/>
      <c r="CA6" s="25" t="e">
        <f>'0. ГИРА'!CA6</f>
        <v>#DIV/0!</v>
      </c>
      <c r="CB6" s="24"/>
      <c r="CC6" s="24"/>
      <c r="CD6" s="25">
        <f>'0. ГИРА'!CD6</f>
        <v>0</v>
      </c>
    </row>
    <row r="7" spans="1:82">
      <c r="A7" s="38" t="s">
        <v>27</v>
      </c>
      <c r="B7" s="33" t="e">
        <f>Реестр!#REF!</f>
        <v>#REF!</v>
      </c>
      <c r="C7" s="30" t="s">
        <v>14</v>
      </c>
      <c r="D7" s="68"/>
      <c r="E7" s="68"/>
      <c r="F7" s="69">
        <f>E7-D7</f>
        <v>0</v>
      </c>
      <c r="G7" s="70">
        <f>G8*F7</f>
        <v>0</v>
      </c>
      <c r="H7" s="68"/>
      <c r="I7" s="22">
        <f>H7-E7</f>
        <v>0</v>
      </c>
      <c r="J7" s="70">
        <f>J8*I7</f>
        <v>0</v>
      </c>
      <c r="K7" s="68"/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>
      <c r="A8" s="37" t="s">
        <v>29</v>
      </c>
      <c r="B8" s="33" t="e">
        <f>Реестр!#REF!</f>
        <v>#REF!</v>
      </c>
      <c r="C8" s="30" t="s">
        <v>15</v>
      </c>
      <c r="D8" s="71"/>
      <c r="E8" s="71"/>
      <c r="F8" s="71"/>
      <c r="G8" s="72">
        <f>'0. ГИРА'!G8</f>
        <v>9.0000090000090002E-2</v>
      </c>
      <c r="H8" s="71"/>
      <c r="I8" s="71"/>
      <c r="J8" s="72">
        <f>'0. ГИРА'!J8</f>
        <v>0.19565259924478096</v>
      </c>
      <c r="K8" s="71"/>
      <c r="L8" s="71"/>
      <c r="M8" s="72">
        <f>'0. ГИРА'!M8</f>
        <v>-5.1392491801673927E-2</v>
      </c>
      <c r="N8" s="71"/>
      <c r="O8" s="71"/>
      <c r="P8" s="72">
        <f>'0. ГИРА'!P8</f>
        <v>0</v>
      </c>
      <c r="Q8" s="71"/>
      <c r="R8" s="71"/>
      <c r="S8" s="72" t="e">
        <f>'0. ГИРА'!S8</f>
        <v>#DIV/0!</v>
      </c>
      <c r="T8" s="71"/>
      <c r="U8" s="71"/>
      <c r="V8" s="72" t="e">
        <f>'0. ГИРА'!V8</f>
        <v>#DIV/0!</v>
      </c>
      <c r="W8" s="71"/>
      <c r="X8" s="71"/>
      <c r="Y8" s="72" t="e">
        <f>'0. ГИРА'!Y8</f>
        <v>#DIV/0!</v>
      </c>
      <c r="Z8" s="71"/>
      <c r="AA8" s="71"/>
      <c r="AB8" s="72" t="e">
        <f>'0. ГИРА'!AB8</f>
        <v>#DIV/0!</v>
      </c>
      <c r="AC8" s="71"/>
      <c r="AD8" s="71"/>
      <c r="AE8" s="72" t="e">
        <f>'0. ГИРА'!AE8</f>
        <v>#DIV/0!</v>
      </c>
      <c r="AF8" s="71"/>
      <c r="AG8" s="71"/>
      <c r="AH8" s="72" t="e">
        <f>'0. ГИРА'!AH8</f>
        <v>#DIV/0!</v>
      </c>
      <c r="AI8" s="71"/>
      <c r="AJ8" s="71"/>
      <c r="AK8" s="72" t="e">
        <f>'0. ГИРА'!AK8</f>
        <v>#DIV/0!</v>
      </c>
      <c r="AL8" s="71"/>
      <c r="AM8" s="71"/>
      <c r="AN8" s="72" t="e">
        <f>'0. ГИРА'!AN8</f>
        <v>#DIV/0!</v>
      </c>
      <c r="AO8" s="71"/>
      <c r="AP8" s="71"/>
      <c r="AQ8" s="72" t="e">
        <f>'0. ГИРА'!AQ8</f>
        <v>#DIV/0!</v>
      </c>
      <c r="AR8" s="71"/>
      <c r="AS8" s="71"/>
      <c r="AT8" s="72" t="e">
        <f>'0. ГИРА'!AT8</f>
        <v>#DIV/0!</v>
      </c>
      <c r="AU8" s="71"/>
      <c r="AV8" s="71"/>
      <c r="AW8" s="72" t="e">
        <f>'0. ГИРА'!AW8</f>
        <v>#DIV/0!</v>
      </c>
      <c r="AX8" s="71"/>
      <c r="AY8" s="71"/>
      <c r="AZ8" s="72" t="e">
        <f>'0. ГИРА'!AZ8</f>
        <v>#DIV/0!</v>
      </c>
      <c r="BA8" s="71"/>
      <c r="BB8" s="71"/>
      <c r="BC8" s="72" t="e">
        <f>'0. ГИРА'!BC8</f>
        <v>#DIV/0!</v>
      </c>
      <c r="BD8" s="71"/>
      <c r="BE8" s="71"/>
      <c r="BF8" s="72" t="e">
        <f>'0. ГИРА'!BF8</f>
        <v>#DIV/0!</v>
      </c>
      <c r="BG8" s="71"/>
      <c r="BH8" s="71"/>
      <c r="BI8" s="72" t="e">
        <f>'0. ГИРА'!BI8</f>
        <v>#DIV/0!</v>
      </c>
      <c r="BJ8" s="71"/>
      <c r="BK8" s="71"/>
      <c r="BL8" s="72" t="e">
        <f>'0. ГИРА'!BL8</f>
        <v>#DIV/0!</v>
      </c>
      <c r="BM8" s="71"/>
      <c r="BN8" s="71"/>
      <c r="BO8" s="72" t="e">
        <f>'0. ГИРА'!BO8</f>
        <v>#DIV/0!</v>
      </c>
      <c r="BP8" s="71"/>
      <c r="BQ8" s="71"/>
      <c r="BR8" s="72" t="e">
        <f>'0. ГИРА'!BR8</f>
        <v>#DIV/0!</v>
      </c>
      <c r="BS8" s="71"/>
      <c r="BT8" s="71"/>
      <c r="BU8" s="72" t="e">
        <f>'0. ГИРА'!BU8</f>
        <v>#DIV/0!</v>
      </c>
      <c r="BV8" s="71"/>
      <c r="BW8" s="71"/>
      <c r="BX8" s="72" t="e">
        <f>'0. ГИРА'!BX8</f>
        <v>#DIV/0!</v>
      </c>
      <c r="BY8" s="71"/>
      <c r="BZ8" s="71"/>
      <c r="CA8" s="72" t="e">
        <f>'0. ГИРА'!CA8</f>
        <v>#DIV/0!</v>
      </c>
      <c r="CB8" s="71"/>
      <c r="CC8" s="71"/>
      <c r="CD8" s="72">
        <f>'0. ГИРА'!CD8</f>
        <v>0</v>
      </c>
    </row>
    <row r="9" spans="1:82">
      <c r="A9" s="38" t="s">
        <v>30</v>
      </c>
      <c r="B9" s="34" t="e">
        <f>Реестр!#REF!</f>
        <v>#REF!</v>
      </c>
      <c r="C9" s="20" t="s">
        <v>16</v>
      </c>
      <c r="D9" s="21"/>
      <c r="E9" s="21"/>
      <c r="F9" s="22">
        <f>E9-D9</f>
        <v>0</v>
      </c>
      <c r="G9" s="23" t="e">
        <f>G10*B3</f>
        <v>#REF!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M10*H3</f>
        <v>0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>
      <c r="C10" s="20" t="s">
        <v>17</v>
      </c>
      <c r="D10" s="24"/>
      <c r="E10" s="24"/>
      <c r="F10" s="24"/>
      <c r="G10" s="25">
        <f>'0. ГИРА'!G10</f>
        <v>24.617909529182487</v>
      </c>
      <c r="H10" s="24"/>
      <c r="I10" s="24"/>
      <c r="J10" s="25">
        <f>'0. ГИРА'!J10</f>
        <v>24.617909529182487</v>
      </c>
      <c r="K10" s="24"/>
      <c r="L10" s="24"/>
      <c r="M10" s="25">
        <f>'0. ГИРА'!M10</f>
        <v>20.514924607652073</v>
      </c>
      <c r="N10" s="24"/>
      <c r="O10" s="24"/>
      <c r="P10" s="25">
        <f>'0. ГИРА'!P10</f>
        <v>0</v>
      </c>
      <c r="Q10" s="24"/>
      <c r="R10" s="24"/>
      <c r="S10" s="25">
        <f>'0. ГИРА'!S10</f>
        <v>0</v>
      </c>
      <c r="T10" s="24"/>
      <c r="U10" s="24"/>
      <c r="V10" s="25">
        <f>'0. ГИРА'!V10</f>
        <v>0</v>
      </c>
      <c r="W10" s="24"/>
      <c r="X10" s="24"/>
      <c r="Y10" s="25">
        <f>'0. ГИРА'!Y10</f>
        <v>0</v>
      </c>
      <c r="Z10" s="24"/>
      <c r="AA10" s="24"/>
      <c r="AB10" s="25">
        <f>'0. ГИРА'!AB10</f>
        <v>0</v>
      </c>
      <c r="AC10" s="24"/>
      <c r="AD10" s="24"/>
      <c r="AE10" s="25">
        <f>'0. ГИРА'!AE10</f>
        <v>0</v>
      </c>
      <c r="AF10" s="24"/>
      <c r="AG10" s="24"/>
      <c r="AH10" s="25">
        <f>'0. ГИРА'!AH10</f>
        <v>0</v>
      </c>
      <c r="AI10" s="24"/>
      <c r="AJ10" s="24"/>
      <c r="AK10" s="25">
        <f>'0. ГИРА'!AK10</f>
        <v>0</v>
      </c>
      <c r="AL10" s="24"/>
      <c r="AM10" s="24"/>
      <c r="AN10" s="25">
        <f>'0. ГИРА'!AN10</f>
        <v>0</v>
      </c>
      <c r="AO10" s="24"/>
      <c r="AP10" s="24"/>
      <c r="AQ10" s="25">
        <f>'0. ГИРА'!AQ10</f>
        <v>0</v>
      </c>
      <c r="AR10" s="24"/>
      <c r="AS10" s="24"/>
      <c r="AT10" s="25">
        <f>'0. ГИРА'!AT10</f>
        <v>0</v>
      </c>
      <c r="AU10" s="24"/>
      <c r="AV10" s="24"/>
      <c r="AW10" s="25">
        <f>'0. ГИРА'!AW10</f>
        <v>0</v>
      </c>
      <c r="AX10" s="24"/>
      <c r="AY10" s="24"/>
      <c r="AZ10" s="25">
        <f>'0. ГИРА'!AZ10</f>
        <v>0</v>
      </c>
      <c r="BA10" s="24"/>
      <c r="BB10" s="24"/>
      <c r="BC10" s="25">
        <f>'0. ГИРА'!BC10</f>
        <v>0</v>
      </c>
      <c r="BD10" s="24"/>
      <c r="BE10" s="24"/>
      <c r="BF10" s="25">
        <f>'0. ГИРА'!BF10</f>
        <v>0</v>
      </c>
      <c r="BG10" s="24"/>
      <c r="BH10" s="24"/>
      <c r="BI10" s="25">
        <f>'0. ГИРА'!BI10</f>
        <v>0</v>
      </c>
      <c r="BJ10" s="24"/>
      <c r="BK10" s="24"/>
      <c r="BL10" s="25">
        <f>'0. ГИРА'!BL10</f>
        <v>0</v>
      </c>
      <c r="BM10" s="24"/>
      <c r="BN10" s="24"/>
      <c r="BO10" s="25">
        <f>'0. ГИРА'!BO10</f>
        <v>0</v>
      </c>
      <c r="BP10" s="24"/>
      <c r="BQ10" s="24"/>
      <c r="BR10" s="25">
        <f>'0. ГИРА'!BR10</f>
        <v>0</v>
      </c>
      <c r="BS10" s="24"/>
      <c r="BT10" s="24"/>
      <c r="BU10" s="25">
        <f>'0. ГИРА'!BU10</f>
        <v>0</v>
      </c>
      <c r="BV10" s="24"/>
      <c r="BW10" s="24"/>
      <c r="BX10" s="25">
        <f>'0. ГИРА'!BX10</f>
        <v>0</v>
      </c>
      <c r="BY10" s="24"/>
      <c r="BZ10" s="24"/>
      <c r="CA10" s="25">
        <f>'0. ГИРА'!CA10</f>
        <v>0</v>
      </c>
      <c r="CB10" s="24"/>
      <c r="CC10" s="24"/>
      <c r="CD10" s="25">
        <f>'0. ГИРА'!CD10</f>
        <v>0</v>
      </c>
    </row>
    <row r="11" spans="1:82">
      <c r="A11" s="33" t="s">
        <v>31</v>
      </c>
      <c r="B11" t="e">
        <f>Реестр!#REF!</f>
        <v>#REF!</v>
      </c>
      <c r="C11" s="26" t="s">
        <v>18</v>
      </c>
      <c r="D11" s="21"/>
      <c r="E11" s="21"/>
      <c r="F11" s="22">
        <f>E11-D11</f>
        <v>0</v>
      </c>
      <c r="G11" s="23"/>
      <c r="H11" s="21"/>
      <c r="I11" s="22">
        <f>H11-E11</f>
        <v>0</v>
      </c>
      <c r="J11" s="23">
        <f>J12*E3</f>
        <v>0</v>
      </c>
      <c r="K11" s="21"/>
      <c r="L11" s="22">
        <f>K11-H11</f>
        <v>0</v>
      </c>
      <c r="M11" s="23">
        <f>M12*H3</f>
        <v>0</v>
      </c>
      <c r="N11" s="21"/>
      <c r="O11" s="22">
        <f>N11-K11</f>
        <v>0</v>
      </c>
      <c r="P11" s="23">
        <f>P12*K3</f>
        <v>0</v>
      </c>
      <c r="Q11" s="21"/>
      <c r="R11" s="22">
        <f>Q11-N11</f>
        <v>0</v>
      </c>
      <c r="S11" s="23">
        <f>S12*N3</f>
        <v>0</v>
      </c>
      <c r="T11" s="21"/>
      <c r="U11" s="22">
        <f>T11-Q11</f>
        <v>0</v>
      </c>
      <c r="V11" s="23">
        <f>V12*Q3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'0. ГИРА'!G12</f>
        <v>12142.857142857143</v>
      </c>
      <c r="H12" s="24"/>
      <c r="I12" s="24"/>
      <c r="J12" s="25">
        <f>'0. ГИРА'!J12</f>
        <v>174.37685916504262</v>
      </c>
      <c r="K12" s="24"/>
      <c r="L12" s="24"/>
      <c r="M12" s="25">
        <f>'0. ГИРА'!M12</f>
        <v>102.57462303826036</v>
      </c>
      <c r="N12" s="24"/>
      <c r="O12" s="24"/>
      <c r="P12" s="25">
        <f>'0. ГИРА'!P12</f>
        <v>0</v>
      </c>
      <c r="Q12" s="24"/>
      <c r="R12" s="24"/>
      <c r="S12" s="25">
        <f>'0. ГИРА'!S12</f>
        <v>0</v>
      </c>
      <c r="T12" s="24"/>
      <c r="U12" s="24"/>
      <c r="V12" s="25">
        <f>'0. ГИРА'!V12</f>
        <v>0</v>
      </c>
      <c r="W12" s="24"/>
      <c r="X12" s="24"/>
      <c r="Y12" s="25">
        <f>'0. ГИРА'!Y12</f>
        <v>0</v>
      </c>
      <c r="Z12" s="24"/>
      <c r="AA12" s="24"/>
      <c r="AB12" s="25">
        <f>'0. ГИРА'!AB12</f>
        <v>0</v>
      </c>
      <c r="AC12" s="24"/>
      <c r="AD12" s="24"/>
      <c r="AE12" s="25">
        <f>'0. ГИРА'!AE12</f>
        <v>0</v>
      </c>
      <c r="AF12" s="24"/>
      <c r="AG12" s="24"/>
      <c r="AH12" s="25">
        <f>'0. ГИРА'!AH12</f>
        <v>0</v>
      </c>
      <c r="AI12" s="24"/>
      <c r="AJ12" s="24"/>
      <c r="AK12" s="25">
        <f>'0. ГИРА'!AK12</f>
        <v>0</v>
      </c>
      <c r="AL12" s="24"/>
      <c r="AM12" s="24"/>
      <c r="AN12" s="25">
        <f>'0. ГИРА'!AN12</f>
        <v>0</v>
      </c>
      <c r="AO12" s="24"/>
      <c r="AP12" s="24"/>
      <c r="AQ12" s="25">
        <f>'0. ГИРА'!AQ12</f>
        <v>0</v>
      </c>
      <c r="AR12" s="24"/>
      <c r="AS12" s="24"/>
      <c r="AT12" s="25">
        <f>'0. ГИРА'!AT12</f>
        <v>0</v>
      </c>
      <c r="AU12" s="24"/>
      <c r="AV12" s="24"/>
      <c r="AW12" s="25">
        <f>'0. ГИРА'!AW12</f>
        <v>0</v>
      </c>
      <c r="AX12" s="24"/>
      <c r="AY12" s="24"/>
      <c r="AZ12" s="25">
        <f>'0. ГИРА'!AZ12</f>
        <v>0</v>
      </c>
      <c r="BA12" s="24"/>
      <c r="BB12" s="24"/>
      <c r="BC12" s="25">
        <f>'0. ГИРА'!BC12</f>
        <v>0</v>
      </c>
      <c r="BD12" s="24"/>
      <c r="BE12" s="24"/>
      <c r="BF12" s="25">
        <f>'0. ГИРА'!BF12</f>
        <v>0</v>
      </c>
      <c r="BG12" s="24"/>
      <c r="BH12" s="24"/>
      <c r="BI12" s="25">
        <f>'0. ГИРА'!BI12</f>
        <v>0</v>
      </c>
      <c r="BJ12" s="24"/>
      <c r="BK12" s="24"/>
      <c r="BL12" s="25">
        <f>'0. ГИРА'!BL12</f>
        <v>0</v>
      </c>
      <c r="BM12" s="24"/>
      <c r="BN12" s="24"/>
      <c r="BO12" s="25">
        <f>'0. ГИРА'!BO12</f>
        <v>0</v>
      </c>
      <c r="BP12" s="24"/>
      <c r="BQ12" s="24"/>
      <c r="BR12" s="25">
        <f>'0. ГИРА'!BR12</f>
        <v>0</v>
      </c>
      <c r="BS12" s="24"/>
      <c r="BT12" s="24"/>
      <c r="BU12" s="25">
        <f>'0. ГИРА'!BU12</f>
        <v>0</v>
      </c>
      <c r="BV12" s="24"/>
      <c r="BW12" s="24"/>
      <c r="BX12" s="25">
        <f>'0. ГИРА'!BX12</f>
        <v>0</v>
      </c>
      <c r="BY12" s="24"/>
      <c r="BZ12" s="24"/>
      <c r="CA12" s="25">
        <f>'0. ГИРА'!CA12</f>
        <v>0</v>
      </c>
      <c r="CB12" s="24"/>
      <c r="CC12" s="24"/>
      <c r="CD12" s="25">
        <f>'0. ГИРА'!CD12</f>
        <v>0</v>
      </c>
    </row>
    <row r="13" spans="1:82">
      <c r="D13" s="14"/>
      <c r="E13" s="14"/>
      <c r="F13" s="15"/>
      <c r="G13" s="16"/>
    </row>
    <row r="14" spans="1:82">
      <c r="G14" s="16"/>
    </row>
    <row r="15" spans="1:82">
      <c r="G15" s="16"/>
    </row>
    <row r="16" spans="1:82">
      <c r="G16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"/>
  <sheetViews>
    <sheetView tabSelected="1" topLeftCell="L1" zoomScale="125" zoomScaleNormal="100" workbookViewId="0">
      <selection activeCell="A9" sqref="A9:V9"/>
    </sheetView>
  </sheetViews>
  <sheetFormatPr defaultColWidth="11.42578125" defaultRowHeight="15"/>
  <cols>
    <col min="1" max="1" width="13.85546875" customWidth="1"/>
    <col min="2" max="4" width="10.85546875" customWidth="1"/>
    <col min="5" max="5" width="12.7109375" customWidth="1"/>
    <col min="6" max="6" width="23.42578125" customWidth="1"/>
    <col min="7" max="7" width="17.85546875" customWidth="1"/>
    <col min="8" max="9" width="10.28515625" customWidth="1"/>
    <col min="10" max="10" width="13.85546875" customWidth="1"/>
    <col min="12" max="12" width="14.85546875" customWidth="1"/>
    <col min="14" max="14" width="13.28515625" customWidth="1"/>
    <col min="15" max="15" width="7.140625" customWidth="1"/>
    <col min="16" max="16" width="12.140625" customWidth="1"/>
    <col min="17" max="18" width="18.28515625" customWidth="1"/>
    <col min="20" max="20" width="14" customWidth="1"/>
  </cols>
  <sheetData>
    <row r="1" spans="1:22" ht="18.95" customHeight="1">
      <c r="A1" s="33" t="s">
        <v>36</v>
      </c>
      <c r="B1" s="33" t="s">
        <v>0</v>
      </c>
      <c r="C1" s="33" t="s">
        <v>37</v>
      </c>
      <c r="D1" s="33" t="s">
        <v>9</v>
      </c>
      <c r="E1" s="33" t="s">
        <v>38</v>
      </c>
      <c r="F1" s="33" t="s">
        <v>24</v>
      </c>
      <c r="G1" s="33" t="s">
        <v>39</v>
      </c>
      <c r="H1" s="33" t="s">
        <v>7</v>
      </c>
      <c r="I1" s="33" t="s">
        <v>40</v>
      </c>
      <c r="J1" s="33" t="s">
        <v>31</v>
      </c>
      <c r="K1" s="32" t="s">
        <v>41</v>
      </c>
      <c r="L1" s="32" t="s">
        <v>42</v>
      </c>
      <c r="M1" s="37" t="s">
        <v>26</v>
      </c>
      <c r="N1" s="38" t="s">
        <v>27</v>
      </c>
      <c r="O1" s="37" t="s">
        <v>29</v>
      </c>
      <c r="P1" s="38" t="s">
        <v>30</v>
      </c>
      <c r="Q1" s="38" t="s">
        <v>43</v>
      </c>
      <c r="R1" s="78" t="s">
        <v>44</v>
      </c>
      <c r="S1" s="78" t="s">
        <v>45</v>
      </c>
      <c r="T1" s="78" t="s">
        <v>46</v>
      </c>
      <c r="V1" s="83" t="s">
        <v>47</v>
      </c>
    </row>
    <row r="2" spans="1:22">
      <c r="A2" s="40" t="s">
        <v>48</v>
      </c>
      <c r="B2" s="41" t="s">
        <v>49</v>
      </c>
      <c r="C2" s="17"/>
      <c r="D2" s="17">
        <v>444</v>
      </c>
      <c r="E2" s="17" t="s">
        <v>50</v>
      </c>
      <c r="F2" s="17" t="s">
        <v>51</v>
      </c>
      <c r="G2" s="17" t="s">
        <v>52</v>
      </c>
      <c r="H2" s="26">
        <v>123.4</v>
      </c>
      <c r="I2" s="26" t="s">
        <v>53</v>
      </c>
      <c r="J2" s="26"/>
      <c r="K2" s="40">
        <v>45367</v>
      </c>
      <c r="L2" s="17"/>
      <c r="M2" s="42" t="s">
        <v>54</v>
      </c>
      <c r="N2" s="17">
        <v>89503228511</v>
      </c>
      <c r="O2" s="17" t="s">
        <v>55</v>
      </c>
      <c r="P2" s="17">
        <v>89372840305</v>
      </c>
      <c r="Q2" s="79" t="s">
        <v>56</v>
      </c>
      <c r="R2" s="2" t="s">
        <v>57</v>
      </c>
      <c r="S2" s="2" t="s">
        <v>58</v>
      </c>
      <c r="T2" s="2" t="s">
        <v>59</v>
      </c>
    </row>
    <row r="3" spans="1:22" ht="15.75" customHeight="1">
      <c r="A3" s="40" t="s">
        <v>60</v>
      </c>
      <c r="B3" s="41" t="s">
        <v>49</v>
      </c>
      <c r="C3" s="17"/>
      <c r="D3" s="17">
        <v>111</v>
      </c>
      <c r="E3" s="17" t="s">
        <v>50</v>
      </c>
      <c r="F3" s="66" t="s">
        <v>61</v>
      </c>
      <c r="G3" s="17" t="s">
        <v>62</v>
      </c>
      <c r="H3" s="26">
        <v>102.6</v>
      </c>
      <c r="I3" s="26" t="s">
        <v>63</v>
      </c>
      <c r="J3" s="26"/>
      <c r="K3" s="40">
        <v>45362</v>
      </c>
      <c r="L3" s="17"/>
      <c r="M3" s="42" t="s">
        <v>64</v>
      </c>
      <c r="N3" s="17">
        <v>89053164414</v>
      </c>
      <c r="O3" s="17" t="s">
        <v>65</v>
      </c>
      <c r="P3" s="17" t="s">
        <v>65</v>
      </c>
      <c r="Q3" s="79" t="s">
        <v>56</v>
      </c>
      <c r="R3" s="2" t="s">
        <v>66</v>
      </c>
      <c r="S3" s="2" t="s">
        <v>67</v>
      </c>
      <c r="T3" s="2" t="s">
        <v>68</v>
      </c>
    </row>
    <row r="4" spans="1:22">
      <c r="A4" s="43" t="s">
        <v>69</v>
      </c>
      <c r="B4" s="41" t="s">
        <v>49</v>
      </c>
      <c r="C4" s="17"/>
      <c r="D4" s="17">
        <v>333</v>
      </c>
      <c r="E4" s="17" t="s">
        <v>70</v>
      </c>
      <c r="F4" s="35" t="s">
        <v>71</v>
      </c>
      <c r="G4" s="41" t="s">
        <v>72</v>
      </c>
      <c r="H4" s="44">
        <v>45.2</v>
      </c>
      <c r="I4" s="44" t="s">
        <v>73</v>
      </c>
      <c r="J4" s="44"/>
      <c r="K4" s="77">
        <v>44631</v>
      </c>
      <c r="L4" s="17"/>
      <c r="M4" s="17" t="s">
        <v>65</v>
      </c>
      <c r="N4" s="17" t="s">
        <v>65</v>
      </c>
      <c r="O4" s="17" t="s">
        <v>65</v>
      </c>
      <c r="P4" s="17" t="s">
        <v>65</v>
      </c>
      <c r="Q4" s="80" t="s">
        <v>56</v>
      </c>
      <c r="R4" s="2" t="s">
        <v>74</v>
      </c>
      <c r="S4" s="2" t="s">
        <v>75</v>
      </c>
      <c r="T4" s="2" t="s">
        <v>76</v>
      </c>
    </row>
    <row r="5" spans="1:22">
      <c r="A5" s="43" t="s">
        <v>77</v>
      </c>
      <c r="B5" s="41" t="s">
        <v>49</v>
      </c>
      <c r="C5" s="17"/>
      <c r="D5" s="17">
        <v>555</v>
      </c>
      <c r="E5" s="17" t="s">
        <v>70</v>
      </c>
      <c r="F5" s="35" t="s">
        <v>78</v>
      </c>
      <c r="G5" s="41" t="s">
        <v>79</v>
      </c>
      <c r="H5" s="44">
        <v>43.3</v>
      </c>
      <c r="I5" s="44" t="s">
        <v>80</v>
      </c>
      <c r="J5" s="44"/>
      <c r="K5" s="40">
        <v>45333</v>
      </c>
      <c r="L5" s="17"/>
      <c r="M5" s="17" t="s">
        <v>65</v>
      </c>
      <c r="N5" s="17" t="s">
        <v>65</v>
      </c>
      <c r="O5" s="17" t="s">
        <v>65</v>
      </c>
      <c r="P5" s="17" t="s">
        <v>65</v>
      </c>
      <c r="Q5" s="80" t="s">
        <v>56</v>
      </c>
      <c r="R5" s="2"/>
      <c r="S5" s="2"/>
      <c r="T5" s="2"/>
    </row>
    <row r="6" spans="1:22">
      <c r="A6" s="40" t="s">
        <v>81</v>
      </c>
      <c r="B6" s="41" t="s">
        <v>49</v>
      </c>
      <c r="C6" s="17"/>
      <c r="D6" s="17">
        <v>222</v>
      </c>
      <c r="E6" s="17" t="s">
        <v>50</v>
      </c>
      <c r="F6" s="17" t="s">
        <v>82</v>
      </c>
      <c r="G6" s="17" t="s">
        <v>83</v>
      </c>
      <c r="H6" s="26">
        <v>36</v>
      </c>
      <c r="I6" s="26" t="s">
        <v>84</v>
      </c>
      <c r="J6" s="26"/>
      <c r="K6" s="40">
        <v>45275</v>
      </c>
      <c r="L6" s="17"/>
      <c r="M6" s="42" t="s">
        <v>85</v>
      </c>
      <c r="N6" s="17">
        <v>89655937317</v>
      </c>
      <c r="O6" s="17" t="s">
        <v>65</v>
      </c>
      <c r="P6" s="17" t="s">
        <v>65</v>
      </c>
      <c r="Q6" s="79" t="s">
        <v>86</v>
      </c>
      <c r="R6" s="2"/>
      <c r="S6" s="2"/>
      <c r="T6" s="2"/>
    </row>
    <row r="7" spans="1:22">
      <c r="A7" s="40" t="s">
        <v>87</v>
      </c>
      <c r="B7" s="41" t="s">
        <v>49</v>
      </c>
      <c r="C7" s="17">
        <v>1</v>
      </c>
      <c r="D7" s="17" t="s">
        <v>88</v>
      </c>
      <c r="E7" s="17" t="s">
        <v>89</v>
      </c>
      <c r="F7" s="35" t="s">
        <v>90</v>
      </c>
      <c r="G7" s="17">
        <v>8888</v>
      </c>
      <c r="H7" s="26" t="s">
        <v>91</v>
      </c>
      <c r="I7" s="26" t="s">
        <v>92</v>
      </c>
      <c r="J7" s="26"/>
      <c r="K7" s="40">
        <v>36872</v>
      </c>
      <c r="L7" s="17"/>
      <c r="M7" s="17" t="s">
        <v>65</v>
      </c>
      <c r="N7" s="17" t="s">
        <v>93</v>
      </c>
      <c r="O7" s="17" t="s">
        <v>65</v>
      </c>
      <c r="P7" s="17" t="s">
        <v>65</v>
      </c>
      <c r="Q7" s="79" t="s">
        <v>56</v>
      </c>
      <c r="R7" s="2" t="s">
        <v>94</v>
      </c>
      <c r="S7" s="2" t="s">
        <v>95</v>
      </c>
      <c r="T7" s="2" t="s">
        <v>96</v>
      </c>
      <c r="V7" t="s">
        <v>97</v>
      </c>
    </row>
    <row r="8" spans="1:22">
      <c r="A8" t="s">
        <v>98</v>
      </c>
      <c r="D8" t="s">
        <v>99</v>
      </c>
      <c r="E8">
        <v>3</v>
      </c>
      <c r="F8" t="s">
        <v>100</v>
      </c>
      <c r="G8" t="s">
        <v>101</v>
      </c>
      <c r="H8">
        <v>100</v>
      </c>
      <c r="I8" t="s">
        <v>102</v>
      </c>
      <c r="K8" s="84">
        <v>46075</v>
      </c>
      <c r="N8" t="s">
        <v>103</v>
      </c>
      <c r="R8" t="s">
        <v>104</v>
      </c>
      <c r="S8" t="s">
        <v>105</v>
      </c>
      <c r="T8" t="s">
        <v>106</v>
      </c>
      <c r="V8" t="s">
        <v>107</v>
      </c>
    </row>
    <row r="9" spans="1:22">
      <c r="A9" t="s">
        <v>108</v>
      </c>
      <c r="D9" t="s">
        <v>99</v>
      </c>
      <c r="E9">
        <v>3</v>
      </c>
      <c r="F9" t="s">
        <v>109</v>
      </c>
      <c r="G9" t="s">
        <v>110</v>
      </c>
      <c r="H9">
        <v>100</v>
      </c>
      <c r="I9" t="s">
        <v>102</v>
      </c>
      <c r="K9" s="84">
        <v>47099</v>
      </c>
      <c r="N9" t="s">
        <v>103</v>
      </c>
      <c r="R9" t="s">
        <v>104</v>
      </c>
      <c r="S9" t="s">
        <v>105</v>
      </c>
      <c r="T9" t="s">
        <v>106</v>
      </c>
      <c r="V9" t="s">
        <v>111</v>
      </c>
    </row>
    <row r="10" spans="1:22">
      <c r="A10" t="s">
        <v>112</v>
      </c>
      <c r="D10" t="s">
        <v>99</v>
      </c>
      <c r="E10">
        <v>3</v>
      </c>
      <c r="F10" t="s">
        <v>109</v>
      </c>
      <c r="G10" t="s">
        <v>113</v>
      </c>
      <c r="H10">
        <v>100</v>
      </c>
      <c r="I10" t="s">
        <v>102</v>
      </c>
      <c r="K10" s="84">
        <v>46003</v>
      </c>
      <c r="N10" t="s">
        <v>103</v>
      </c>
      <c r="R10" t="s">
        <v>104</v>
      </c>
      <c r="S10" t="s">
        <v>105</v>
      </c>
      <c r="T10" t="s">
        <v>106</v>
      </c>
      <c r="V10" t="s">
        <v>114</v>
      </c>
    </row>
    <row r="11" spans="1:22">
      <c r="K11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defaultColWidth="11.42578125" defaultRowHeight="15"/>
  <cols>
    <col min="2" max="2" width="26.7109375" customWidth="1"/>
    <col min="3" max="3" width="17" customWidth="1"/>
    <col min="5" max="5" width="16" customWidth="1"/>
  </cols>
  <sheetData>
    <row r="1" spans="1:53">
      <c r="E1" s="52">
        <v>45962</v>
      </c>
      <c r="G1" s="52">
        <v>45992</v>
      </c>
      <c r="I1" s="52">
        <v>46023</v>
      </c>
      <c r="K1" s="52">
        <v>46054</v>
      </c>
      <c r="M1" s="52">
        <v>46082</v>
      </c>
      <c r="O1" s="52">
        <v>46113</v>
      </c>
      <c r="Q1" s="52">
        <v>46143</v>
      </c>
      <c r="S1" s="52">
        <v>46174</v>
      </c>
      <c r="U1" s="52">
        <v>46204</v>
      </c>
      <c r="W1" s="52">
        <v>46235</v>
      </c>
      <c r="Y1" s="52">
        <v>46266</v>
      </c>
      <c r="AA1" s="52">
        <v>46296</v>
      </c>
      <c r="AC1" s="52">
        <v>46327</v>
      </c>
      <c r="AE1" s="52">
        <v>46357</v>
      </c>
      <c r="AG1" s="52">
        <v>46388</v>
      </c>
      <c r="AI1" s="52">
        <v>46419</v>
      </c>
      <c r="AK1" s="52">
        <v>46447</v>
      </c>
      <c r="AM1" s="52">
        <v>46478</v>
      </c>
      <c r="AO1" s="52">
        <v>46508</v>
      </c>
      <c r="AQ1" s="52">
        <v>46539</v>
      </c>
      <c r="AS1" s="52">
        <v>46569</v>
      </c>
      <c r="AU1" s="52">
        <v>46600</v>
      </c>
      <c r="AW1" s="52">
        <v>46631</v>
      </c>
      <c r="AY1" s="52">
        <v>46661</v>
      </c>
      <c r="BA1" s="52">
        <v>46692</v>
      </c>
    </row>
    <row r="2" spans="1:53">
      <c r="A2" s="33" t="s">
        <v>9</v>
      </c>
      <c r="B2" s="33" t="s">
        <v>24</v>
      </c>
      <c r="C2" s="33" t="s">
        <v>7</v>
      </c>
      <c r="D2" s="48" t="s">
        <v>115</v>
      </c>
      <c r="E2" s="32" t="s">
        <v>116</v>
      </c>
      <c r="F2" s="32" t="s">
        <v>115</v>
      </c>
      <c r="G2" s="32" t="s">
        <v>116</v>
      </c>
      <c r="H2" s="32" t="s">
        <v>115</v>
      </c>
      <c r="I2" s="32" t="s">
        <v>116</v>
      </c>
      <c r="J2" s="32" t="s">
        <v>115</v>
      </c>
      <c r="K2" s="32" t="s">
        <v>116</v>
      </c>
      <c r="L2" s="32" t="s">
        <v>115</v>
      </c>
      <c r="M2" s="32" t="s">
        <v>116</v>
      </c>
      <c r="N2" s="32" t="s">
        <v>115</v>
      </c>
      <c r="O2" s="32" t="s">
        <v>116</v>
      </c>
      <c r="P2" s="32" t="s">
        <v>115</v>
      </c>
      <c r="Q2" s="32" t="s">
        <v>116</v>
      </c>
      <c r="R2" s="32" t="s">
        <v>115</v>
      </c>
      <c r="S2" s="32" t="s">
        <v>116</v>
      </c>
      <c r="T2" s="32" t="s">
        <v>115</v>
      </c>
      <c r="U2" s="32" t="s">
        <v>116</v>
      </c>
      <c r="V2" s="32" t="s">
        <v>115</v>
      </c>
      <c r="W2" s="32" t="s">
        <v>116</v>
      </c>
      <c r="X2" s="32" t="s">
        <v>115</v>
      </c>
      <c r="Y2" s="32" t="s">
        <v>116</v>
      </c>
      <c r="Z2" s="32" t="s">
        <v>115</v>
      </c>
      <c r="AA2" s="32" t="s">
        <v>116</v>
      </c>
      <c r="AB2" s="32" t="s">
        <v>115</v>
      </c>
      <c r="AC2" s="32" t="s">
        <v>116</v>
      </c>
      <c r="AD2" s="32" t="s">
        <v>115</v>
      </c>
      <c r="AE2" s="32" t="s">
        <v>116</v>
      </c>
      <c r="AF2" s="32" t="s">
        <v>115</v>
      </c>
      <c r="AG2" s="32" t="s">
        <v>116</v>
      </c>
      <c r="AH2" s="32" t="s">
        <v>115</v>
      </c>
      <c r="AI2" s="32" t="s">
        <v>116</v>
      </c>
      <c r="AJ2" s="32" t="s">
        <v>115</v>
      </c>
      <c r="AK2" s="32" t="s">
        <v>116</v>
      </c>
      <c r="AL2" s="32" t="s">
        <v>115</v>
      </c>
      <c r="AM2" s="32" t="s">
        <v>116</v>
      </c>
      <c r="AN2" s="32" t="s">
        <v>115</v>
      </c>
      <c r="AO2" s="32" t="s">
        <v>116</v>
      </c>
      <c r="AP2" s="32" t="s">
        <v>115</v>
      </c>
      <c r="AQ2" s="32" t="s">
        <v>116</v>
      </c>
      <c r="AR2" s="32" t="s">
        <v>115</v>
      </c>
      <c r="AS2" s="32" t="s">
        <v>116</v>
      </c>
      <c r="AT2" s="32" t="s">
        <v>115</v>
      </c>
      <c r="AU2" s="32" t="s">
        <v>116</v>
      </c>
      <c r="AV2" s="32" t="s">
        <v>115</v>
      </c>
      <c r="AW2" s="32" t="s">
        <v>116</v>
      </c>
      <c r="AX2" s="32" t="s">
        <v>115</v>
      </c>
      <c r="AY2" s="32" t="s">
        <v>116</v>
      </c>
      <c r="AZ2" s="32" t="s">
        <v>115</v>
      </c>
      <c r="BA2" s="32" t="s">
        <v>116</v>
      </c>
    </row>
    <row r="3" spans="1:53">
      <c r="A3" s="49">
        <f>Реестр!D2</f>
        <v>444</v>
      </c>
      <c r="B3" s="51" t="str">
        <f>Реестр!F2</f>
        <v>Гареева А.В.</v>
      </c>
      <c r="C3" s="54">
        <f>Реестр!H2</f>
        <v>123.4</v>
      </c>
      <c r="D3" s="49">
        <v>1600</v>
      </c>
      <c r="E3" s="64">
        <f t="shared" ref="E3:E9" si="0">D3*$C3</f>
        <v>197440</v>
      </c>
      <c r="F3" s="2">
        <f t="shared" ref="F3:F9" si="1">D3</f>
        <v>1600</v>
      </c>
      <c r="G3" s="56">
        <f t="shared" ref="G3:G9" si="2">$C3*F3</f>
        <v>197440</v>
      </c>
      <c r="H3" s="57"/>
      <c r="I3" s="56">
        <f t="shared" ref="I3:I9" si="3">$C3*H3</f>
        <v>0</v>
      </c>
      <c r="J3" s="2">
        <f t="shared" ref="J3:J9" si="4">H3</f>
        <v>0</v>
      </c>
      <c r="K3" s="56">
        <f t="shared" ref="K3:K9" si="5">$C3*J3</f>
        <v>0</v>
      </c>
      <c r="L3" s="2">
        <f t="shared" ref="L3:L9" si="6">J3</f>
        <v>0</v>
      </c>
      <c r="M3" s="56">
        <f t="shared" ref="M3:M9" si="7">$C3*L3</f>
        <v>0</v>
      </c>
      <c r="N3" s="2">
        <f t="shared" ref="N3:N9" si="8">L3</f>
        <v>0</v>
      </c>
      <c r="O3" s="56">
        <f t="shared" ref="O3:O9" si="9">$C3*N3</f>
        <v>0</v>
      </c>
      <c r="P3" s="2">
        <f t="shared" ref="P3:P9" si="10">N3</f>
        <v>0</v>
      </c>
      <c r="Q3" s="56">
        <f t="shared" ref="Q3:Q9" si="11">$C3*P3</f>
        <v>0</v>
      </c>
      <c r="R3" s="2">
        <f t="shared" ref="R3:R9" si="12">P3</f>
        <v>0</v>
      </c>
      <c r="S3" s="56">
        <f t="shared" ref="S3:S9" si="13">$C3*R3</f>
        <v>0</v>
      </c>
      <c r="T3" s="2">
        <f t="shared" ref="T3:T9" si="14">R3</f>
        <v>0</v>
      </c>
      <c r="U3" s="56">
        <f t="shared" ref="U3:U9" si="15">$C3*T3</f>
        <v>0</v>
      </c>
      <c r="V3" s="2">
        <f t="shared" ref="V3:V9" si="16">T3</f>
        <v>0</v>
      </c>
      <c r="W3" s="56">
        <f t="shared" ref="W3:W9" si="17">$C3*V3</f>
        <v>0</v>
      </c>
      <c r="X3" s="2">
        <f t="shared" ref="X3:X9" si="18">V3</f>
        <v>0</v>
      </c>
      <c r="Y3" s="56">
        <f t="shared" ref="Y3:Y9" si="19">$C3*X3</f>
        <v>0</v>
      </c>
      <c r="Z3" s="2">
        <f t="shared" ref="Z3:Z9" si="20">X3</f>
        <v>0</v>
      </c>
      <c r="AA3" s="56">
        <f t="shared" ref="AA3:AA9" si="21">$C3*Z3</f>
        <v>0</v>
      </c>
      <c r="AB3" s="2">
        <f t="shared" ref="AB3:AB9" si="22">Z3</f>
        <v>0</v>
      </c>
      <c r="AC3" s="56">
        <f t="shared" ref="AC3:AC9" si="23">$C3*AB3</f>
        <v>0</v>
      </c>
      <c r="AD3" s="2">
        <f t="shared" ref="AD3:AD9" si="24">AB3</f>
        <v>0</v>
      </c>
      <c r="AE3" s="56">
        <f t="shared" ref="AE3:AE9" si="25">$C3*AD3</f>
        <v>0</v>
      </c>
      <c r="AF3" s="57"/>
      <c r="AG3" s="56">
        <f t="shared" ref="AG3:AG9" si="26">$C3*AF3</f>
        <v>0</v>
      </c>
      <c r="AH3" s="2">
        <f t="shared" ref="AH3:AH9" si="27">AF3</f>
        <v>0</v>
      </c>
      <c r="AI3" s="56">
        <f t="shared" ref="AI3:AI9" si="28">$C3*AH3</f>
        <v>0</v>
      </c>
      <c r="AJ3" s="2">
        <f t="shared" ref="AJ3:AJ9" si="29">AH3</f>
        <v>0</v>
      </c>
      <c r="AK3" s="56">
        <f t="shared" ref="AK3:AK9" si="30">$C3*AJ3</f>
        <v>0</v>
      </c>
      <c r="AL3" s="2">
        <f t="shared" ref="AL3:AL9" si="31">AJ3</f>
        <v>0</v>
      </c>
      <c r="AM3" s="56">
        <f t="shared" ref="AM3:AM9" si="32">$C3*AL3</f>
        <v>0</v>
      </c>
      <c r="AN3" s="2">
        <f t="shared" ref="AN3:AN9" si="33">AL3</f>
        <v>0</v>
      </c>
      <c r="AO3" s="56">
        <f t="shared" ref="AO3:AO9" si="34">$C3*AN3</f>
        <v>0</v>
      </c>
      <c r="AP3" s="2">
        <f t="shared" ref="AP3:AP9" si="35">AN3</f>
        <v>0</v>
      </c>
      <c r="AQ3" s="56">
        <f t="shared" ref="AQ3:AQ9" si="36">$C3*AP3</f>
        <v>0</v>
      </c>
      <c r="AR3" s="2">
        <f t="shared" ref="AR3:AR9" si="37">AP3</f>
        <v>0</v>
      </c>
      <c r="AS3" s="56">
        <f t="shared" ref="AS3:AS9" si="38">$C3*AR3</f>
        <v>0</v>
      </c>
      <c r="AT3" s="2">
        <f t="shared" ref="AT3:AT9" si="39">AR3</f>
        <v>0</v>
      </c>
      <c r="AU3" s="56">
        <f t="shared" ref="AU3:AU9" si="40">$C3*AT3</f>
        <v>0</v>
      </c>
      <c r="AV3" s="2">
        <f t="shared" ref="AV3:AV9" si="41">AT3</f>
        <v>0</v>
      </c>
      <c r="AW3" s="56">
        <f t="shared" ref="AW3:AW9" si="42">$C3*AV3</f>
        <v>0</v>
      </c>
      <c r="AX3" s="2">
        <f t="shared" ref="AX3:AX9" si="43">AV3</f>
        <v>0</v>
      </c>
      <c r="AY3" s="56">
        <f t="shared" ref="AY3:AY9" si="44">$C3*AX3</f>
        <v>0</v>
      </c>
      <c r="AZ3" s="2">
        <f t="shared" ref="AZ3:AZ9" si="45">AX3</f>
        <v>0</v>
      </c>
      <c r="BA3" s="56">
        <f t="shared" ref="BA3:BA9" si="46">$C3*AZ3</f>
        <v>0</v>
      </c>
    </row>
    <row r="4" spans="1:53">
      <c r="A4" s="49">
        <f>Реестр!D3</f>
        <v>111</v>
      </c>
      <c r="B4" s="51" t="str">
        <f>Реестр!F3</f>
        <v xml:space="preserve"> Гарипов И.К.</v>
      </c>
      <c r="C4" s="54">
        <f>Реестр!H3</f>
        <v>102.6</v>
      </c>
      <c r="D4" s="49">
        <v>1800</v>
      </c>
      <c r="E4" s="65">
        <f t="shared" si="0"/>
        <v>184680</v>
      </c>
      <c r="F4" s="2">
        <f t="shared" si="1"/>
        <v>1800</v>
      </c>
      <c r="G4" s="56">
        <f t="shared" si="2"/>
        <v>184680</v>
      </c>
      <c r="H4" s="57"/>
      <c r="I4" s="56">
        <f t="shared" si="3"/>
        <v>0</v>
      </c>
      <c r="J4" s="2">
        <f t="shared" si="4"/>
        <v>0</v>
      </c>
      <c r="K4" s="56">
        <f t="shared" si="5"/>
        <v>0</v>
      </c>
      <c r="L4" s="2">
        <f t="shared" si="6"/>
        <v>0</v>
      </c>
      <c r="M4" s="56">
        <f t="shared" si="7"/>
        <v>0</v>
      </c>
      <c r="N4" s="2">
        <f t="shared" si="8"/>
        <v>0</v>
      </c>
      <c r="O4" s="56">
        <f t="shared" si="9"/>
        <v>0</v>
      </c>
      <c r="P4" s="2">
        <f t="shared" si="10"/>
        <v>0</v>
      </c>
      <c r="Q4" s="56">
        <f t="shared" si="11"/>
        <v>0</v>
      </c>
      <c r="R4" s="2">
        <f t="shared" si="12"/>
        <v>0</v>
      </c>
      <c r="S4" s="56">
        <f t="shared" si="13"/>
        <v>0</v>
      </c>
      <c r="T4" s="2">
        <f t="shared" si="14"/>
        <v>0</v>
      </c>
      <c r="U4" s="56">
        <f t="shared" si="15"/>
        <v>0</v>
      </c>
      <c r="V4" s="2">
        <f t="shared" si="16"/>
        <v>0</v>
      </c>
      <c r="W4" s="56">
        <f t="shared" si="17"/>
        <v>0</v>
      </c>
      <c r="X4" s="2">
        <f t="shared" si="18"/>
        <v>0</v>
      </c>
      <c r="Y4" s="56">
        <f t="shared" si="19"/>
        <v>0</v>
      </c>
      <c r="Z4" s="2">
        <f t="shared" si="20"/>
        <v>0</v>
      </c>
      <c r="AA4" s="56">
        <f t="shared" si="21"/>
        <v>0</v>
      </c>
      <c r="AB4" s="2">
        <f t="shared" si="22"/>
        <v>0</v>
      </c>
      <c r="AC4" s="56">
        <f t="shared" si="23"/>
        <v>0</v>
      </c>
      <c r="AD4" s="2">
        <f t="shared" si="24"/>
        <v>0</v>
      </c>
      <c r="AE4" s="56">
        <f t="shared" si="25"/>
        <v>0</v>
      </c>
      <c r="AF4" s="57"/>
      <c r="AG4" s="56">
        <f t="shared" si="26"/>
        <v>0</v>
      </c>
      <c r="AH4" s="2">
        <f t="shared" si="27"/>
        <v>0</v>
      </c>
      <c r="AI4" s="56">
        <f t="shared" si="28"/>
        <v>0</v>
      </c>
      <c r="AJ4" s="2">
        <f t="shared" si="29"/>
        <v>0</v>
      </c>
      <c r="AK4" s="56">
        <f t="shared" si="30"/>
        <v>0</v>
      </c>
      <c r="AL4" s="2">
        <f t="shared" si="31"/>
        <v>0</v>
      </c>
      <c r="AM4" s="56">
        <f t="shared" si="32"/>
        <v>0</v>
      </c>
      <c r="AN4" s="2">
        <f t="shared" si="33"/>
        <v>0</v>
      </c>
      <c r="AO4" s="56">
        <f t="shared" si="34"/>
        <v>0</v>
      </c>
      <c r="AP4" s="2">
        <f t="shared" si="35"/>
        <v>0</v>
      </c>
      <c r="AQ4" s="56">
        <f t="shared" si="36"/>
        <v>0</v>
      </c>
      <c r="AR4" s="2">
        <f t="shared" si="37"/>
        <v>0</v>
      </c>
      <c r="AS4" s="56">
        <f t="shared" si="38"/>
        <v>0</v>
      </c>
      <c r="AT4" s="2">
        <f t="shared" si="39"/>
        <v>0</v>
      </c>
      <c r="AU4" s="56">
        <f t="shared" si="40"/>
        <v>0</v>
      </c>
      <c r="AV4" s="2">
        <f t="shared" si="41"/>
        <v>0</v>
      </c>
      <c r="AW4" s="56">
        <f t="shared" si="42"/>
        <v>0</v>
      </c>
      <c r="AX4" s="2">
        <f t="shared" si="43"/>
        <v>0</v>
      </c>
      <c r="AY4" s="56">
        <f t="shared" si="44"/>
        <v>0</v>
      </c>
      <c r="AZ4" s="2">
        <f t="shared" si="45"/>
        <v>0</v>
      </c>
      <c r="BA4" s="56">
        <f t="shared" si="46"/>
        <v>0</v>
      </c>
    </row>
    <row r="5" spans="1:53">
      <c r="A5" s="49">
        <f>Реестр!D4</f>
        <v>333</v>
      </c>
      <c r="B5" s="51" t="str">
        <f>Реестр!F4</f>
        <v>Нал</v>
      </c>
      <c r="C5" s="54">
        <f>Реестр!H4</f>
        <v>45.2</v>
      </c>
      <c r="D5" s="49"/>
      <c r="E5" s="56">
        <f t="shared" si="0"/>
        <v>0</v>
      </c>
      <c r="F5" s="2">
        <f t="shared" si="1"/>
        <v>0</v>
      </c>
      <c r="G5" s="56">
        <f t="shared" si="2"/>
        <v>0</v>
      </c>
      <c r="H5" s="57"/>
      <c r="I5" s="56">
        <f t="shared" si="3"/>
        <v>0</v>
      </c>
      <c r="J5" s="2">
        <f t="shared" si="4"/>
        <v>0</v>
      </c>
      <c r="K5" s="56">
        <f t="shared" si="5"/>
        <v>0</v>
      </c>
      <c r="L5" s="2">
        <f t="shared" si="6"/>
        <v>0</v>
      </c>
      <c r="M5" s="56">
        <f t="shared" si="7"/>
        <v>0</v>
      </c>
      <c r="N5" s="2">
        <f t="shared" si="8"/>
        <v>0</v>
      </c>
      <c r="O5" s="56">
        <f t="shared" si="9"/>
        <v>0</v>
      </c>
      <c r="P5" s="2">
        <f t="shared" si="10"/>
        <v>0</v>
      </c>
      <c r="Q5" s="56">
        <f t="shared" si="11"/>
        <v>0</v>
      </c>
      <c r="R5" s="2">
        <f t="shared" si="12"/>
        <v>0</v>
      </c>
      <c r="S5" s="56">
        <f t="shared" si="13"/>
        <v>0</v>
      </c>
      <c r="T5" s="2">
        <f t="shared" si="14"/>
        <v>0</v>
      </c>
      <c r="U5" s="56">
        <f t="shared" si="15"/>
        <v>0</v>
      </c>
      <c r="V5" s="2">
        <f t="shared" si="16"/>
        <v>0</v>
      </c>
      <c r="W5" s="56">
        <f t="shared" si="17"/>
        <v>0</v>
      </c>
      <c r="X5" s="2">
        <f t="shared" si="18"/>
        <v>0</v>
      </c>
      <c r="Y5" s="56">
        <f t="shared" si="19"/>
        <v>0</v>
      </c>
      <c r="Z5" s="2">
        <f t="shared" si="20"/>
        <v>0</v>
      </c>
      <c r="AA5" s="56">
        <f t="shared" si="21"/>
        <v>0</v>
      </c>
      <c r="AB5" s="2">
        <f t="shared" si="22"/>
        <v>0</v>
      </c>
      <c r="AC5" s="56">
        <f t="shared" si="23"/>
        <v>0</v>
      </c>
      <c r="AD5" s="2">
        <f t="shared" si="24"/>
        <v>0</v>
      </c>
      <c r="AE5" s="56">
        <f t="shared" si="25"/>
        <v>0</v>
      </c>
      <c r="AF5" s="57"/>
      <c r="AG5" s="56">
        <f t="shared" si="26"/>
        <v>0</v>
      </c>
      <c r="AH5" s="2">
        <f t="shared" si="27"/>
        <v>0</v>
      </c>
      <c r="AI5" s="56">
        <f t="shared" si="28"/>
        <v>0</v>
      </c>
      <c r="AJ5" s="2">
        <f t="shared" si="29"/>
        <v>0</v>
      </c>
      <c r="AK5" s="56">
        <f t="shared" si="30"/>
        <v>0</v>
      </c>
      <c r="AL5" s="2">
        <f t="shared" si="31"/>
        <v>0</v>
      </c>
      <c r="AM5" s="56">
        <f t="shared" si="32"/>
        <v>0</v>
      </c>
      <c r="AN5" s="2">
        <f t="shared" si="33"/>
        <v>0</v>
      </c>
      <c r="AO5" s="56">
        <f t="shared" si="34"/>
        <v>0</v>
      </c>
      <c r="AP5" s="2">
        <f t="shared" si="35"/>
        <v>0</v>
      </c>
      <c r="AQ5" s="56">
        <f t="shared" si="36"/>
        <v>0</v>
      </c>
      <c r="AR5" s="2">
        <f t="shared" si="37"/>
        <v>0</v>
      </c>
      <c r="AS5" s="56">
        <f t="shared" si="38"/>
        <v>0</v>
      </c>
      <c r="AT5" s="2">
        <f t="shared" si="39"/>
        <v>0</v>
      </c>
      <c r="AU5" s="56">
        <f t="shared" si="40"/>
        <v>0</v>
      </c>
      <c r="AV5" s="2">
        <f t="shared" si="41"/>
        <v>0</v>
      </c>
      <c r="AW5" s="56">
        <f t="shared" si="42"/>
        <v>0</v>
      </c>
      <c r="AX5" s="2">
        <f t="shared" si="43"/>
        <v>0</v>
      </c>
      <c r="AY5" s="56">
        <f t="shared" si="44"/>
        <v>0</v>
      </c>
      <c r="AZ5" s="2">
        <f t="shared" si="45"/>
        <v>0</v>
      </c>
      <c r="BA5" s="56">
        <f t="shared" si="46"/>
        <v>0</v>
      </c>
    </row>
    <row r="6" spans="1:53">
      <c r="A6" s="49">
        <f>Реестр!D5</f>
        <v>555</v>
      </c>
      <c r="B6" s="51" t="str">
        <f>Реестр!F5</f>
        <v>Мясоо</v>
      </c>
      <c r="C6" s="54">
        <f>Реестр!H5</f>
        <v>43.3</v>
      </c>
      <c r="D6" s="49"/>
      <c r="E6" s="56">
        <f t="shared" si="0"/>
        <v>0</v>
      </c>
      <c r="F6" s="2">
        <f t="shared" si="1"/>
        <v>0</v>
      </c>
      <c r="G6" s="56">
        <f t="shared" si="2"/>
        <v>0</v>
      </c>
      <c r="H6" s="57"/>
      <c r="I6" s="56">
        <f t="shared" si="3"/>
        <v>0</v>
      </c>
      <c r="J6" s="2">
        <f t="shared" si="4"/>
        <v>0</v>
      </c>
      <c r="K6" s="56">
        <f t="shared" si="5"/>
        <v>0</v>
      </c>
      <c r="L6" s="2">
        <f t="shared" si="6"/>
        <v>0</v>
      </c>
      <c r="M6" s="56">
        <f t="shared" si="7"/>
        <v>0</v>
      </c>
      <c r="N6" s="2">
        <f t="shared" si="8"/>
        <v>0</v>
      </c>
      <c r="O6" s="56">
        <f t="shared" si="9"/>
        <v>0</v>
      </c>
      <c r="P6" s="2">
        <f t="shared" si="10"/>
        <v>0</v>
      </c>
      <c r="Q6" s="56">
        <f t="shared" si="11"/>
        <v>0</v>
      </c>
      <c r="R6" s="2">
        <f t="shared" si="12"/>
        <v>0</v>
      </c>
      <c r="S6" s="56">
        <f t="shared" si="13"/>
        <v>0</v>
      </c>
      <c r="T6" s="2">
        <f t="shared" si="14"/>
        <v>0</v>
      </c>
      <c r="U6" s="56">
        <f t="shared" si="15"/>
        <v>0</v>
      </c>
      <c r="V6" s="2">
        <f t="shared" si="16"/>
        <v>0</v>
      </c>
      <c r="W6" s="56">
        <f t="shared" si="17"/>
        <v>0</v>
      </c>
      <c r="X6" s="2">
        <f t="shared" si="18"/>
        <v>0</v>
      </c>
      <c r="Y6" s="56">
        <f t="shared" si="19"/>
        <v>0</v>
      </c>
      <c r="Z6" s="2">
        <f t="shared" si="20"/>
        <v>0</v>
      </c>
      <c r="AA6" s="56">
        <f t="shared" si="21"/>
        <v>0</v>
      </c>
      <c r="AB6" s="2">
        <f t="shared" si="22"/>
        <v>0</v>
      </c>
      <c r="AC6" s="56">
        <f t="shared" si="23"/>
        <v>0</v>
      </c>
      <c r="AD6" s="2">
        <f t="shared" si="24"/>
        <v>0</v>
      </c>
      <c r="AE6" s="56">
        <f t="shared" si="25"/>
        <v>0</v>
      </c>
      <c r="AF6" s="57"/>
      <c r="AG6" s="56">
        <f t="shared" si="26"/>
        <v>0</v>
      </c>
      <c r="AH6" s="2">
        <f t="shared" si="27"/>
        <v>0</v>
      </c>
      <c r="AI6" s="56">
        <f t="shared" si="28"/>
        <v>0</v>
      </c>
      <c r="AJ6" s="2">
        <f t="shared" si="29"/>
        <v>0</v>
      </c>
      <c r="AK6" s="56">
        <f t="shared" si="30"/>
        <v>0</v>
      </c>
      <c r="AL6" s="2">
        <f t="shared" si="31"/>
        <v>0</v>
      </c>
      <c r="AM6" s="56">
        <f t="shared" si="32"/>
        <v>0</v>
      </c>
      <c r="AN6" s="2">
        <f t="shared" si="33"/>
        <v>0</v>
      </c>
      <c r="AO6" s="56">
        <f t="shared" si="34"/>
        <v>0</v>
      </c>
      <c r="AP6" s="2">
        <f t="shared" si="35"/>
        <v>0</v>
      </c>
      <c r="AQ6" s="56">
        <f t="shared" si="36"/>
        <v>0</v>
      </c>
      <c r="AR6" s="2">
        <f t="shared" si="37"/>
        <v>0</v>
      </c>
      <c r="AS6" s="56">
        <f t="shared" si="38"/>
        <v>0</v>
      </c>
      <c r="AT6" s="2">
        <f t="shared" si="39"/>
        <v>0</v>
      </c>
      <c r="AU6" s="56">
        <f t="shared" si="40"/>
        <v>0</v>
      </c>
      <c r="AV6" s="2">
        <f t="shared" si="41"/>
        <v>0</v>
      </c>
      <c r="AW6" s="56">
        <f t="shared" si="42"/>
        <v>0</v>
      </c>
      <c r="AX6" s="2">
        <f t="shared" si="43"/>
        <v>0</v>
      </c>
      <c r="AY6" s="56">
        <f t="shared" si="44"/>
        <v>0</v>
      </c>
      <c r="AZ6" s="2">
        <f t="shared" si="45"/>
        <v>0</v>
      </c>
      <c r="BA6" s="56">
        <f t="shared" si="46"/>
        <v>0</v>
      </c>
    </row>
    <row r="7" spans="1:53">
      <c r="A7" s="49">
        <f>Реестр!D6</f>
        <v>222</v>
      </c>
      <c r="B7" s="51" t="str">
        <f>Реестр!F6</f>
        <v>Галяутдинова Н.А.</v>
      </c>
      <c r="C7" s="54">
        <f>Реестр!H6</f>
        <v>36</v>
      </c>
      <c r="D7" s="49">
        <v>2200</v>
      </c>
      <c r="E7" s="56">
        <f t="shared" si="0"/>
        <v>79200</v>
      </c>
      <c r="F7" s="2">
        <f t="shared" si="1"/>
        <v>2200</v>
      </c>
      <c r="G7" s="56">
        <f t="shared" si="2"/>
        <v>79200</v>
      </c>
      <c r="H7" s="57"/>
      <c r="I7" s="56">
        <f t="shared" si="3"/>
        <v>0</v>
      </c>
      <c r="J7" s="2">
        <f t="shared" si="4"/>
        <v>0</v>
      </c>
      <c r="K7" s="56">
        <f t="shared" si="5"/>
        <v>0</v>
      </c>
      <c r="L7" s="2">
        <f t="shared" si="6"/>
        <v>0</v>
      </c>
      <c r="M7" s="56">
        <f t="shared" si="7"/>
        <v>0</v>
      </c>
      <c r="N7" s="2">
        <f t="shared" si="8"/>
        <v>0</v>
      </c>
      <c r="O7" s="56">
        <f t="shared" si="9"/>
        <v>0</v>
      </c>
      <c r="P7" s="2">
        <f t="shared" si="10"/>
        <v>0</v>
      </c>
      <c r="Q7" s="56">
        <f t="shared" si="11"/>
        <v>0</v>
      </c>
      <c r="R7" s="2">
        <f t="shared" si="12"/>
        <v>0</v>
      </c>
      <c r="S7" s="56">
        <f t="shared" si="13"/>
        <v>0</v>
      </c>
      <c r="T7" s="2">
        <f t="shared" si="14"/>
        <v>0</v>
      </c>
      <c r="U7" s="56">
        <f t="shared" si="15"/>
        <v>0</v>
      </c>
      <c r="V7" s="2">
        <f t="shared" si="16"/>
        <v>0</v>
      </c>
      <c r="W7" s="56">
        <f t="shared" si="17"/>
        <v>0</v>
      </c>
      <c r="X7" s="2">
        <f t="shared" si="18"/>
        <v>0</v>
      </c>
      <c r="Y7" s="56">
        <f t="shared" si="19"/>
        <v>0</v>
      </c>
      <c r="Z7" s="2">
        <f t="shared" si="20"/>
        <v>0</v>
      </c>
      <c r="AA7" s="56">
        <f t="shared" si="21"/>
        <v>0</v>
      </c>
      <c r="AB7" s="2">
        <f t="shared" si="22"/>
        <v>0</v>
      </c>
      <c r="AC7" s="56">
        <f t="shared" si="23"/>
        <v>0</v>
      </c>
      <c r="AD7" s="2">
        <f t="shared" si="24"/>
        <v>0</v>
      </c>
      <c r="AE7" s="56">
        <f t="shared" si="25"/>
        <v>0</v>
      </c>
      <c r="AF7" s="57"/>
      <c r="AG7" s="56">
        <f t="shared" si="26"/>
        <v>0</v>
      </c>
      <c r="AH7" s="2">
        <f t="shared" si="27"/>
        <v>0</v>
      </c>
      <c r="AI7" s="56">
        <f t="shared" si="28"/>
        <v>0</v>
      </c>
      <c r="AJ7" s="2">
        <f t="shared" si="29"/>
        <v>0</v>
      </c>
      <c r="AK7" s="56">
        <f t="shared" si="30"/>
        <v>0</v>
      </c>
      <c r="AL7" s="2">
        <f t="shared" si="31"/>
        <v>0</v>
      </c>
      <c r="AM7" s="56">
        <f t="shared" si="32"/>
        <v>0</v>
      </c>
      <c r="AN7" s="2">
        <f t="shared" si="33"/>
        <v>0</v>
      </c>
      <c r="AO7" s="56">
        <f t="shared" si="34"/>
        <v>0</v>
      </c>
      <c r="AP7" s="2">
        <f t="shared" si="35"/>
        <v>0</v>
      </c>
      <c r="AQ7" s="56">
        <f t="shared" si="36"/>
        <v>0</v>
      </c>
      <c r="AR7" s="2">
        <f t="shared" si="37"/>
        <v>0</v>
      </c>
      <c r="AS7" s="56">
        <f t="shared" si="38"/>
        <v>0</v>
      </c>
      <c r="AT7" s="2">
        <f t="shared" si="39"/>
        <v>0</v>
      </c>
      <c r="AU7" s="56">
        <f t="shared" si="40"/>
        <v>0</v>
      </c>
      <c r="AV7" s="2">
        <f t="shared" si="41"/>
        <v>0</v>
      </c>
      <c r="AW7" s="56">
        <f t="shared" si="42"/>
        <v>0</v>
      </c>
      <c r="AX7" s="2">
        <f t="shared" si="43"/>
        <v>0</v>
      </c>
      <c r="AY7" s="56">
        <f t="shared" si="44"/>
        <v>0</v>
      </c>
      <c r="AZ7" s="2">
        <f t="shared" si="45"/>
        <v>0</v>
      </c>
      <c r="BA7" s="56">
        <f t="shared" si="46"/>
        <v>0</v>
      </c>
    </row>
    <row r="8" spans="1:53">
      <c r="A8" s="49" t="str">
        <f>Реестр!D7</f>
        <v>1111111111</v>
      </c>
      <c r="B8" s="51" t="str">
        <f>Реестр!F7</f>
        <v>зож</v>
      </c>
      <c r="C8" s="54" t="str">
        <f>Реестр!H7</f>
        <v>K8888.0</v>
      </c>
      <c r="D8" s="49"/>
      <c r="E8" s="56" t="e">
        <f t="shared" si="0"/>
        <v>#VALUE!</v>
      </c>
      <c r="F8" s="2">
        <f t="shared" si="1"/>
        <v>0</v>
      </c>
      <c r="G8" s="56" t="e">
        <f t="shared" si="2"/>
        <v>#VALUE!</v>
      </c>
      <c r="H8" s="57"/>
      <c r="I8" s="56" t="e">
        <f t="shared" si="3"/>
        <v>#VALUE!</v>
      </c>
      <c r="J8" s="2">
        <f t="shared" si="4"/>
        <v>0</v>
      </c>
      <c r="K8" s="56" t="e">
        <f t="shared" si="5"/>
        <v>#VALUE!</v>
      </c>
      <c r="L8" s="2">
        <f t="shared" si="6"/>
        <v>0</v>
      </c>
      <c r="M8" s="56" t="e">
        <f t="shared" si="7"/>
        <v>#VALUE!</v>
      </c>
      <c r="N8" s="2">
        <f t="shared" si="8"/>
        <v>0</v>
      </c>
      <c r="O8" s="56" t="e">
        <f t="shared" si="9"/>
        <v>#VALUE!</v>
      </c>
      <c r="P8" s="2">
        <f t="shared" si="10"/>
        <v>0</v>
      </c>
      <c r="Q8" s="56" t="e">
        <f t="shared" si="11"/>
        <v>#VALUE!</v>
      </c>
      <c r="R8" s="2">
        <f t="shared" si="12"/>
        <v>0</v>
      </c>
      <c r="S8" s="56" t="e">
        <f t="shared" si="13"/>
        <v>#VALUE!</v>
      </c>
      <c r="T8" s="2">
        <f t="shared" si="14"/>
        <v>0</v>
      </c>
      <c r="U8" s="56" t="e">
        <f t="shared" si="15"/>
        <v>#VALUE!</v>
      </c>
      <c r="V8" s="2">
        <f t="shared" si="16"/>
        <v>0</v>
      </c>
      <c r="W8" s="56" t="e">
        <f t="shared" si="17"/>
        <v>#VALUE!</v>
      </c>
      <c r="X8" s="2">
        <f t="shared" si="18"/>
        <v>0</v>
      </c>
      <c r="Y8" s="56" t="e">
        <f t="shared" si="19"/>
        <v>#VALUE!</v>
      </c>
      <c r="Z8" s="2">
        <f t="shared" si="20"/>
        <v>0</v>
      </c>
      <c r="AA8" s="56" t="e">
        <f t="shared" si="21"/>
        <v>#VALUE!</v>
      </c>
      <c r="AB8" s="2">
        <f t="shared" si="22"/>
        <v>0</v>
      </c>
      <c r="AC8" s="56" t="e">
        <f t="shared" si="23"/>
        <v>#VALUE!</v>
      </c>
      <c r="AD8" s="2">
        <f t="shared" si="24"/>
        <v>0</v>
      </c>
      <c r="AE8" s="56" t="e">
        <f t="shared" si="25"/>
        <v>#VALUE!</v>
      </c>
      <c r="AF8" s="57"/>
      <c r="AG8" s="56" t="e">
        <f t="shared" si="26"/>
        <v>#VALUE!</v>
      </c>
      <c r="AH8" s="2">
        <f t="shared" si="27"/>
        <v>0</v>
      </c>
      <c r="AI8" s="56" t="e">
        <f t="shared" si="28"/>
        <v>#VALUE!</v>
      </c>
      <c r="AJ8" s="2">
        <f t="shared" si="29"/>
        <v>0</v>
      </c>
      <c r="AK8" s="56" t="e">
        <f t="shared" si="30"/>
        <v>#VALUE!</v>
      </c>
      <c r="AL8" s="2">
        <f t="shared" si="31"/>
        <v>0</v>
      </c>
      <c r="AM8" s="56" t="e">
        <f t="shared" si="32"/>
        <v>#VALUE!</v>
      </c>
      <c r="AN8" s="2">
        <f t="shared" si="33"/>
        <v>0</v>
      </c>
      <c r="AO8" s="56" t="e">
        <f t="shared" si="34"/>
        <v>#VALUE!</v>
      </c>
      <c r="AP8" s="2">
        <f t="shared" si="35"/>
        <v>0</v>
      </c>
      <c r="AQ8" s="56" t="e">
        <f t="shared" si="36"/>
        <v>#VALUE!</v>
      </c>
      <c r="AR8" s="2">
        <f t="shared" si="37"/>
        <v>0</v>
      </c>
      <c r="AS8" s="56" t="e">
        <f t="shared" si="38"/>
        <v>#VALUE!</v>
      </c>
      <c r="AT8" s="2">
        <f t="shared" si="39"/>
        <v>0</v>
      </c>
      <c r="AU8" s="56" t="e">
        <f t="shared" si="40"/>
        <v>#VALUE!</v>
      </c>
      <c r="AV8" s="2">
        <f t="shared" si="41"/>
        <v>0</v>
      </c>
      <c r="AW8" s="56" t="e">
        <f t="shared" si="42"/>
        <v>#VALUE!</v>
      </c>
      <c r="AX8" s="2">
        <f t="shared" si="43"/>
        <v>0</v>
      </c>
      <c r="AY8" s="56" t="e">
        <f t="shared" si="44"/>
        <v>#VALUE!</v>
      </c>
      <c r="AZ8" s="2">
        <f t="shared" si="45"/>
        <v>0</v>
      </c>
      <c r="BA8" s="56" t="e">
        <f t="shared" si="46"/>
        <v>#VALUE!</v>
      </c>
    </row>
    <row r="9" spans="1:53">
      <c r="A9" s="50" t="e">
        <f>Реестр!#REF!</f>
        <v>#REF!</v>
      </c>
      <c r="B9" s="53" t="e">
        <f>Реестр!#REF!</f>
        <v>#REF!</v>
      </c>
      <c r="C9" s="55" t="e">
        <f>Реестр!#REF!</f>
        <v>#REF!</v>
      </c>
      <c r="D9" s="50"/>
      <c r="E9" s="56" t="e">
        <f t="shared" si="0"/>
        <v>#REF!</v>
      </c>
      <c r="F9" s="2">
        <f t="shared" si="1"/>
        <v>0</v>
      </c>
      <c r="G9" s="56" t="e">
        <f t="shared" si="2"/>
        <v>#REF!</v>
      </c>
      <c r="H9" s="57"/>
      <c r="I9" s="56" t="e">
        <f t="shared" si="3"/>
        <v>#REF!</v>
      </c>
      <c r="J9" s="2">
        <f t="shared" si="4"/>
        <v>0</v>
      </c>
      <c r="K9" s="56" t="e">
        <f t="shared" si="5"/>
        <v>#REF!</v>
      </c>
      <c r="L9" s="2">
        <f t="shared" si="6"/>
        <v>0</v>
      </c>
      <c r="M9" s="56" t="e">
        <f t="shared" si="7"/>
        <v>#REF!</v>
      </c>
      <c r="N9" s="2">
        <f t="shared" si="8"/>
        <v>0</v>
      </c>
      <c r="O9" s="56" t="e">
        <f t="shared" si="9"/>
        <v>#REF!</v>
      </c>
      <c r="P9" s="2">
        <f t="shared" si="10"/>
        <v>0</v>
      </c>
      <c r="Q9" s="56" t="e">
        <f t="shared" si="11"/>
        <v>#REF!</v>
      </c>
      <c r="R9" s="2">
        <f t="shared" si="12"/>
        <v>0</v>
      </c>
      <c r="S9" s="56" t="e">
        <f t="shared" si="13"/>
        <v>#REF!</v>
      </c>
      <c r="T9" s="2">
        <f t="shared" si="14"/>
        <v>0</v>
      </c>
      <c r="U9" s="56" t="e">
        <f t="shared" si="15"/>
        <v>#REF!</v>
      </c>
      <c r="V9" s="2">
        <f t="shared" si="16"/>
        <v>0</v>
      </c>
      <c r="W9" s="56" t="e">
        <f t="shared" si="17"/>
        <v>#REF!</v>
      </c>
      <c r="X9" s="2">
        <f t="shared" si="18"/>
        <v>0</v>
      </c>
      <c r="Y9" s="56" t="e">
        <f t="shared" si="19"/>
        <v>#REF!</v>
      </c>
      <c r="Z9" s="2">
        <f t="shared" si="20"/>
        <v>0</v>
      </c>
      <c r="AA9" s="56" t="e">
        <f t="shared" si="21"/>
        <v>#REF!</v>
      </c>
      <c r="AB9" s="2">
        <f t="shared" si="22"/>
        <v>0</v>
      </c>
      <c r="AC9" s="56" t="e">
        <f t="shared" si="23"/>
        <v>#REF!</v>
      </c>
      <c r="AD9" s="2">
        <f t="shared" si="24"/>
        <v>0</v>
      </c>
      <c r="AE9" s="56" t="e">
        <f t="shared" si="25"/>
        <v>#REF!</v>
      </c>
      <c r="AF9" s="57"/>
      <c r="AG9" s="56" t="e">
        <f t="shared" si="26"/>
        <v>#REF!</v>
      </c>
      <c r="AH9" s="2">
        <f t="shared" si="27"/>
        <v>0</v>
      </c>
      <c r="AI9" s="56" t="e">
        <f t="shared" si="28"/>
        <v>#REF!</v>
      </c>
      <c r="AJ9" s="2">
        <f t="shared" si="29"/>
        <v>0</v>
      </c>
      <c r="AK9" s="56" t="e">
        <f t="shared" si="30"/>
        <v>#REF!</v>
      </c>
      <c r="AL9" s="2">
        <f t="shared" si="31"/>
        <v>0</v>
      </c>
      <c r="AM9" s="56" t="e">
        <f t="shared" si="32"/>
        <v>#REF!</v>
      </c>
      <c r="AN9" s="2">
        <f t="shared" si="33"/>
        <v>0</v>
      </c>
      <c r="AO9" s="56" t="e">
        <f t="shared" si="34"/>
        <v>#REF!</v>
      </c>
      <c r="AP9" s="2">
        <f t="shared" si="35"/>
        <v>0</v>
      </c>
      <c r="AQ9" s="56" t="e">
        <f t="shared" si="36"/>
        <v>#REF!</v>
      </c>
      <c r="AR9" s="2">
        <f t="shared" si="37"/>
        <v>0</v>
      </c>
      <c r="AS9" s="56" t="e">
        <f t="shared" si="38"/>
        <v>#REF!</v>
      </c>
      <c r="AT9" s="2">
        <f t="shared" si="39"/>
        <v>0</v>
      </c>
      <c r="AU9" s="56" t="e">
        <f t="shared" si="40"/>
        <v>#REF!</v>
      </c>
      <c r="AV9" s="2">
        <f t="shared" si="41"/>
        <v>0</v>
      </c>
      <c r="AW9" s="56" t="e">
        <f t="shared" si="42"/>
        <v>#REF!</v>
      </c>
      <c r="AX9" s="2">
        <f t="shared" si="43"/>
        <v>0</v>
      </c>
      <c r="AY9" s="56" t="e">
        <f t="shared" si="44"/>
        <v>#REF!</v>
      </c>
      <c r="AZ9" s="2">
        <f t="shared" si="45"/>
        <v>0</v>
      </c>
      <c r="BA9" s="56" t="e">
        <f t="shared" si="46"/>
        <v>#REF!</v>
      </c>
    </row>
    <row r="12" spans="1:53">
      <c r="A12" s="1"/>
      <c r="B12" s="14"/>
      <c r="C12" s="14"/>
      <c r="D12" s="15"/>
      <c r="E12" s="16"/>
      <c r="G12" s="1"/>
      <c r="H12" s="1"/>
      <c r="J12" s="1"/>
      <c r="K12" s="1"/>
      <c r="M12" s="1"/>
      <c r="N12" s="1"/>
      <c r="P12" s="1"/>
      <c r="Q12" s="1"/>
      <c r="S12" s="1"/>
      <c r="T12" s="1"/>
      <c r="V12" s="1"/>
      <c r="W12" s="1"/>
      <c r="Y12" s="1"/>
      <c r="Z12" s="1"/>
      <c r="AB12" s="1"/>
      <c r="AC12" s="1"/>
      <c r="AE12" s="1"/>
      <c r="AF12" s="1"/>
      <c r="AH12" s="1"/>
      <c r="AI12" s="1"/>
      <c r="AK12" s="1"/>
      <c r="AL12" s="1"/>
      <c r="AN12" s="1"/>
      <c r="AO12" s="1"/>
      <c r="AQ12" s="1"/>
      <c r="AR12" s="1"/>
    </row>
    <row r="13" spans="1:53">
      <c r="B13" s="1"/>
      <c r="E13" s="1"/>
      <c r="F13" s="16"/>
      <c r="H13" s="1"/>
      <c r="I13" s="1"/>
      <c r="K13" s="1"/>
      <c r="L13" s="1"/>
      <c r="N13" s="1"/>
      <c r="O13" s="1"/>
      <c r="Q13" s="1"/>
      <c r="R13" s="1"/>
      <c r="T13" s="1"/>
      <c r="U13" s="1"/>
      <c r="W13" s="1"/>
      <c r="X13" s="1"/>
      <c r="Z13" s="1"/>
      <c r="AA13" s="1"/>
      <c r="AC13" s="1"/>
      <c r="AD13" s="1"/>
      <c r="AF13" s="1"/>
      <c r="AG13" s="1"/>
      <c r="AI13" s="1"/>
      <c r="AJ13" s="1"/>
      <c r="AL13" s="1"/>
      <c r="AM13" s="1"/>
      <c r="AO13" s="1"/>
      <c r="AP13" s="1"/>
      <c r="AR13" s="1"/>
      <c r="AS13" s="1"/>
    </row>
    <row r="15" spans="1:53">
      <c r="A15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D12"/>
  <sheetViews>
    <sheetView workbookViewId="0">
      <selection activeCell="K7" sqref="K7"/>
    </sheetView>
  </sheetViews>
  <sheetFormatPr defaultColWidth="11.42578125" defaultRowHeight="15"/>
  <cols>
    <col min="13" max="13" width="13" customWidth="1"/>
  </cols>
  <sheetData>
    <row r="1" spans="1:82">
      <c r="A1" s="33" t="s">
        <v>9</v>
      </c>
      <c r="B1" s="33">
        <f>[1]Реестр!D2</f>
        <v>444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[2]Реестр!B2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 ht="30" customHeight="1">
      <c r="A3" s="33" t="s">
        <v>24</v>
      </c>
      <c r="B3" s="34" t="str">
        <f>[2]Реестр!F2</f>
        <v>Гареева А.В.</v>
      </c>
      <c r="C3" s="20" t="s">
        <v>8</v>
      </c>
      <c r="D3" s="21">
        <v>0</v>
      </c>
      <c r="E3" s="21">
        <v>0</v>
      </c>
      <c r="F3" s="22">
        <f>E3-D3</f>
        <v>0</v>
      </c>
      <c r="G3" s="23">
        <f>F3*G4</f>
        <v>0</v>
      </c>
      <c r="H3" s="21">
        <v>0</v>
      </c>
      <c r="I3" s="22">
        <f>H3-E3</f>
        <v>0</v>
      </c>
      <c r="J3" s="23">
        <f>I3*J4</f>
        <v>0</v>
      </c>
      <c r="K3" s="21">
        <v>0</v>
      </c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 ht="30" customHeight="1">
      <c r="A4" s="33" t="s">
        <v>7</v>
      </c>
      <c r="B4" s="34">
        <f>[2]Реестр!H2</f>
        <v>123.4</v>
      </c>
      <c r="C4" s="20" t="s">
        <v>10</v>
      </c>
      <c r="D4" s="24"/>
      <c r="E4" s="24"/>
      <c r="F4" s="24"/>
      <c r="G4" s="25">
        <f>'[1]0. ГИРА'!G4</f>
        <v>6</v>
      </c>
      <c r="H4" s="24"/>
      <c r="I4" s="24"/>
      <c r="J4" s="25">
        <f>'[1]0. ГИРА'!J4</f>
        <v>6</v>
      </c>
      <c r="K4" s="24"/>
      <c r="L4" s="24"/>
      <c r="M4" s="25">
        <f>'[1]0. ГИРА'!M4</f>
        <v>6</v>
      </c>
      <c r="N4" s="24"/>
      <c r="O4" s="24"/>
      <c r="P4" s="25">
        <f>'[1]0. ГИРА'!P4</f>
        <v>0</v>
      </c>
      <c r="Q4" s="24"/>
      <c r="R4" s="24"/>
      <c r="S4" s="25" t="e">
        <f>'[1]0. ГИРА'!S4</f>
        <v>#DIV/0!</v>
      </c>
      <c r="T4" s="24"/>
      <c r="U4" s="24"/>
      <c r="V4" s="25" t="e">
        <f>'[1]0. ГИРА'!V4</f>
        <v>#DIV/0!</v>
      </c>
      <c r="W4" s="24"/>
      <c r="X4" s="24"/>
      <c r="Y4" s="25" t="e">
        <f>'[1]0. ГИРА'!Y4</f>
        <v>#DIV/0!</v>
      </c>
      <c r="Z4" s="24"/>
      <c r="AA4" s="24"/>
      <c r="AB4" s="25" t="e">
        <f>'[1]0. ГИРА'!AB4</f>
        <v>#DIV/0!</v>
      </c>
      <c r="AC4" s="24"/>
      <c r="AD4" s="24"/>
      <c r="AE4" s="25" t="e">
        <f>'[1]0. ГИРА'!AE4</f>
        <v>#DIV/0!</v>
      </c>
      <c r="AF4" s="24"/>
      <c r="AG4" s="24"/>
      <c r="AH4" s="25" t="e">
        <f>'[1]0. ГИРА'!AH4</f>
        <v>#DIV/0!</v>
      </c>
      <c r="AI4" s="24"/>
      <c r="AJ4" s="24"/>
      <c r="AK4" s="25" t="e">
        <f>'[1]0. ГИРА'!AK4</f>
        <v>#DIV/0!</v>
      </c>
      <c r="AL4" s="24"/>
      <c r="AM4" s="24"/>
      <c r="AN4" s="25" t="e">
        <f>'[1]0. ГИРА'!AN4</f>
        <v>#DIV/0!</v>
      </c>
      <c r="AO4" s="24"/>
      <c r="AP4" s="24"/>
      <c r="AQ4" s="25" t="e">
        <f>'[1]0. ГИРА'!AQ4</f>
        <v>#DIV/0!</v>
      </c>
      <c r="AR4" s="24"/>
      <c r="AS4" s="24"/>
      <c r="AT4" s="25" t="e">
        <f>'[1]0. ГИРА'!AT4</f>
        <v>#DIV/0!</v>
      </c>
      <c r="AU4" s="24"/>
      <c r="AV4" s="24"/>
      <c r="AW4" s="25" t="e">
        <f>'[1]0. ГИРА'!AW4</f>
        <v>#DIV/0!</v>
      </c>
      <c r="AX4" s="24"/>
      <c r="AY4" s="24"/>
      <c r="AZ4" s="25" t="e">
        <f>'[1]0. ГИРА'!AZ4</f>
        <v>#DIV/0!</v>
      </c>
      <c r="BA4" s="24"/>
      <c r="BB4" s="24"/>
      <c r="BC4" s="25" t="e">
        <f>'[1]0. ГИРА'!BC4</f>
        <v>#DIV/0!</v>
      </c>
      <c r="BD4" s="24"/>
      <c r="BE4" s="24"/>
      <c r="BF4" s="25" t="e">
        <f>'[1]0. ГИРА'!BF4</f>
        <v>#DIV/0!</v>
      </c>
      <c r="BG4" s="24"/>
      <c r="BH4" s="24"/>
      <c r="BI4" s="25" t="e">
        <f>'[1]0. ГИРА'!BI4</f>
        <v>#DIV/0!</v>
      </c>
      <c r="BJ4" s="24"/>
      <c r="BK4" s="24"/>
      <c r="BL4" s="25" t="e">
        <f>'[1]0. ГИРА'!BL4</f>
        <v>#DIV/0!</v>
      </c>
      <c r="BM4" s="24"/>
      <c r="BN4" s="24"/>
      <c r="BO4" s="25" t="e">
        <f>'[1]0. ГИРА'!BO4</f>
        <v>#DIV/0!</v>
      </c>
      <c r="BP4" s="24"/>
      <c r="BQ4" s="24"/>
      <c r="BR4" s="25" t="e">
        <f>'[1]0. ГИРА'!BR4</f>
        <v>#DIV/0!</v>
      </c>
      <c r="BS4" s="24"/>
      <c r="BT4" s="24"/>
      <c r="BU4" s="25" t="e">
        <f>'[1]0. ГИРА'!BU4</f>
        <v>#DIV/0!</v>
      </c>
      <c r="BV4" s="24"/>
      <c r="BW4" s="24"/>
      <c r="BX4" s="25" t="e">
        <f>'[1]0. ГИРА'!BX4</f>
        <v>#DIV/0!</v>
      </c>
      <c r="BY4" s="24"/>
      <c r="BZ4" s="24"/>
      <c r="CA4" s="25" t="e">
        <f>'[1]0. ГИРА'!CA4</f>
        <v>#DIV/0!</v>
      </c>
      <c r="CB4" s="24"/>
      <c r="CC4" s="24"/>
      <c r="CD4" s="25">
        <f>'[1]0. ГИРА'!CD4</f>
        <v>0</v>
      </c>
    </row>
    <row r="5" spans="1:82" ht="45" customHeight="1">
      <c r="C5" s="30" t="s">
        <v>12</v>
      </c>
      <c r="D5" s="21">
        <v>0</v>
      </c>
      <c r="E5" s="21">
        <v>0</v>
      </c>
      <c r="F5" s="22">
        <f>E5-D5</f>
        <v>0</v>
      </c>
      <c r="G5" s="23"/>
      <c r="H5" s="21">
        <v>0</v>
      </c>
      <c r="I5" s="22">
        <f>H5-E5</f>
        <v>0</v>
      </c>
      <c r="J5" s="23">
        <f>I5*J6</f>
        <v>0</v>
      </c>
      <c r="K5" s="21">
        <v>0</v>
      </c>
      <c r="L5" s="22">
        <f>K5-H5</f>
        <v>0</v>
      </c>
      <c r="M5" s="23">
        <f>L5*M6</f>
        <v>0</v>
      </c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45" customHeight="1">
      <c r="A6" s="37" t="s">
        <v>26</v>
      </c>
      <c r="B6" s="34" t="str">
        <f>[1]Реестр!M2</f>
        <v xml:space="preserve">Альфия    </v>
      </c>
      <c r="C6" s="30" t="s">
        <v>13</v>
      </c>
      <c r="D6" s="24"/>
      <c r="E6" s="24"/>
      <c r="F6" s="24"/>
      <c r="G6" s="25">
        <f>'[1]0. ГИРА'!G6</f>
        <v>60</v>
      </c>
      <c r="H6" s="24"/>
      <c r="I6" s="24"/>
      <c r="J6" s="25">
        <f>'[1]0. ГИРА'!J6</f>
        <v>60</v>
      </c>
      <c r="K6" s="24"/>
      <c r="L6" s="24"/>
      <c r="M6" s="25">
        <f>'[1]0. ГИРА'!M6</f>
        <v>60</v>
      </c>
      <c r="N6" s="24"/>
      <c r="O6" s="24"/>
      <c r="P6" s="25">
        <f>'[1]0. ГИРА'!P6</f>
        <v>0</v>
      </c>
      <c r="Q6" s="24"/>
      <c r="R6" s="24"/>
      <c r="S6" s="25" t="e">
        <f>'[1]0. ГИРА'!S6</f>
        <v>#DIV/0!</v>
      </c>
      <c r="T6" s="24"/>
      <c r="U6" s="24"/>
      <c r="V6" s="25" t="e">
        <f>'[1]0. ГИРА'!V6</f>
        <v>#DIV/0!</v>
      </c>
      <c r="W6" s="24"/>
      <c r="X6" s="24"/>
      <c r="Y6" s="25" t="e">
        <f>'[1]0. ГИРА'!Y6</f>
        <v>#DIV/0!</v>
      </c>
      <c r="Z6" s="24"/>
      <c r="AA6" s="24"/>
      <c r="AB6" s="25" t="e">
        <f>'[1]0. ГИРА'!AB6</f>
        <v>#DIV/0!</v>
      </c>
      <c r="AC6" s="24"/>
      <c r="AD6" s="24"/>
      <c r="AE6" s="25" t="e">
        <f>'[1]0. ГИРА'!AE6</f>
        <v>#DIV/0!</v>
      </c>
      <c r="AF6" s="24"/>
      <c r="AG6" s="24"/>
      <c r="AH6" s="25" t="e">
        <f>'[1]0. ГИРА'!AH6</f>
        <v>#DIV/0!</v>
      </c>
      <c r="AI6" s="24"/>
      <c r="AJ6" s="24"/>
      <c r="AK6" s="25" t="e">
        <f>'[1]0. ГИРА'!AK6</f>
        <v>#DIV/0!</v>
      </c>
      <c r="AL6" s="24"/>
      <c r="AM6" s="24"/>
      <c r="AN6" s="25" t="e">
        <f>'[1]0. ГИРА'!AN6</f>
        <v>#DIV/0!</v>
      </c>
      <c r="AO6" s="24"/>
      <c r="AP6" s="24"/>
      <c r="AQ6" s="25" t="e">
        <f>'[1]0. ГИРА'!AQ6</f>
        <v>#DIV/0!</v>
      </c>
      <c r="AR6" s="24"/>
      <c r="AS6" s="24"/>
      <c r="AT6" s="25" t="e">
        <f>'[1]0. ГИРА'!AT6</f>
        <v>#DIV/0!</v>
      </c>
      <c r="AU6" s="24"/>
      <c r="AV6" s="24"/>
      <c r="AW6" s="25" t="e">
        <f>'[1]0. ГИРА'!AW6</f>
        <v>#DIV/0!</v>
      </c>
      <c r="AX6" s="24"/>
      <c r="AY6" s="24"/>
      <c r="AZ6" s="25" t="e">
        <f>'[1]0. ГИРА'!AZ6</f>
        <v>#DIV/0!</v>
      </c>
      <c r="BA6" s="24"/>
      <c r="BB6" s="24"/>
      <c r="BC6" s="25" t="e">
        <f>'[1]0. ГИРА'!BC6</f>
        <v>#DIV/0!</v>
      </c>
      <c r="BD6" s="24"/>
      <c r="BE6" s="24"/>
      <c r="BF6" s="25" t="e">
        <f>'[1]0. ГИРА'!BF6</f>
        <v>#DIV/0!</v>
      </c>
      <c r="BG6" s="24"/>
      <c r="BH6" s="24"/>
      <c r="BI6" s="25" t="e">
        <f>'[1]0. ГИРА'!BI6</f>
        <v>#DIV/0!</v>
      </c>
      <c r="BJ6" s="24"/>
      <c r="BK6" s="24"/>
      <c r="BL6" s="25" t="e">
        <f>'[1]0. ГИРА'!BL6</f>
        <v>#DIV/0!</v>
      </c>
      <c r="BM6" s="24"/>
      <c r="BN6" s="24"/>
      <c r="BO6" s="25" t="e">
        <f>'[1]0. ГИРА'!BO6</f>
        <v>#DIV/0!</v>
      </c>
      <c r="BP6" s="24"/>
      <c r="BQ6" s="24"/>
      <c r="BR6" s="25" t="e">
        <f>'[1]0. ГИРА'!BR6</f>
        <v>#DIV/0!</v>
      </c>
      <c r="BS6" s="24"/>
      <c r="BT6" s="24"/>
      <c r="BU6" s="25" t="e">
        <f>'[1]0. ГИРА'!BU6</f>
        <v>#DIV/0!</v>
      </c>
      <c r="BV6" s="24"/>
      <c r="BW6" s="24"/>
      <c r="BX6" s="25" t="e">
        <f>'[1]0. ГИРА'!BX6</f>
        <v>#DIV/0!</v>
      </c>
      <c r="BY6" s="24"/>
      <c r="BZ6" s="24"/>
      <c r="CA6" s="25" t="e">
        <f>'[1]0. ГИРА'!CA6</f>
        <v>#DIV/0!</v>
      </c>
      <c r="CB6" s="24"/>
      <c r="CC6" s="24"/>
      <c r="CD6" s="25">
        <f>'[1]0. ГИРА'!CD6</f>
        <v>0</v>
      </c>
    </row>
    <row r="7" spans="1:82" ht="45" customHeight="1">
      <c r="A7" s="38" t="s">
        <v>27</v>
      </c>
      <c r="B7" s="33">
        <f>[1]Реестр!N2</f>
        <v>89503228511</v>
      </c>
      <c r="C7" s="30" t="s">
        <v>14</v>
      </c>
      <c r="D7" s="68">
        <v>0</v>
      </c>
      <c r="E7" s="68">
        <v>0</v>
      </c>
      <c r="F7" s="69">
        <f>E7-D7</f>
        <v>0</v>
      </c>
      <c r="G7" s="70">
        <f>G8*F7</f>
        <v>0</v>
      </c>
      <c r="H7" s="68">
        <v>0</v>
      </c>
      <c r="I7" s="22">
        <f>H7-E7</f>
        <v>0</v>
      </c>
      <c r="J7" s="70">
        <f>J8*I7</f>
        <v>0</v>
      </c>
      <c r="K7" s="68">
        <v>0</v>
      </c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45" customHeight="1">
      <c r="A8" s="37" t="s">
        <v>29</v>
      </c>
      <c r="B8" s="33" t="str">
        <f>[1]Реестр!O2</f>
        <v>Карина</v>
      </c>
      <c r="C8" s="30" t="s">
        <v>15</v>
      </c>
      <c r="D8" s="71"/>
      <c r="E8" s="71"/>
      <c r="F8" s="71"/>
      <c r="G8" s="72">
        <f>'[1]0. ГИРА'!G8</f>
        <v>300</v>
      </c>
      <c r="H8" s="71"/>
      <c r="I8" s="71"/>
      <c r="J8" s="72">
        <f>'[1]0. ГИРА'!J8</f>
        <v>300</v>
      </c>
      <c r="K8" s="71"/>
      <c r="L8" s="71"/>
      <c r="M8" s="72">
        <f>'[1]0. ГИРА'!M8</f>
        <v>300</v>
      </c>
      <c r="N8" s="71"/>
      <c r="O8" s="71"/>
      <c r="P8" s="72">
        <f>'[1]0. ГИРА'!P8</f>
        <v>0</v>
      </c>
      <c r="Q8" s="71"/>
      <c r="R8" s="71"/>
      <c r="S8" s="72" t="e">
        <f>'[1]0. ГИРА'!S8</f>
        <v>#DIV/0!</v>
      </c>
      <c r="T8" s="71"/>
      <c r="U8" s="71"/>
      <c r="V8" s="72" t="e">
        <f>'[1]0. ГИРА'!V8</f>
        <v>#DIV/0!</v>
      </c>
      <c r="W8" s="71"/>
      <c r="X8" s="71"/>
      <c r="Y8" s="72" t="e">
        <f>'[1]0. ГИРА'!Y8</f>
        <v>#DIV/0!</v>
      </c>
      <c r="Z8" s="71"/>
      <c r="AA8" s="71"/>
      <c r="AB8" s="72" t="e">
        <f>'[1]0. ГИРА'!AB8</f>
        <v>#DIV/0!</v>
      </c>
      <c r="AC8" s="71"/>
      <c r="AD8" s="71"/>
      <c r="AE8" s="72" t="e">
        <f>'[1]0. ГИРА'!AE8</f>
        <v>#DIV/0!</v>
      </c>
      <c r="AF8" s="71"/>
      <c r="AG8" s="71"/>
      <c r="AH8" s="72" t="e">
        <f>'[1]0. ГИРА'!AH8</f>
        <v>#DIV/0!</v>
      </c>
      <c r="AI8" s="71"/>
      <c r="AJ8" s="71"/>
      <c r="AK8" s="72" t="e">
        <f>'[1]0. ГИРА'!AK8</f>
        <v>#DIV/0!</v>
      </c>
      <c r="AL8" s="71"/>
      <c r="AM8" s="71"/>
      <c r="AN8" s="72" t="e">
        <f>'[1]0. ГИРА'!AN8</f>
        <v>#DIV/0!</v>
      </c>
      <c r="AO8" s="71"/>
      <c r="AP8" s="71"/>
      <c r="AQ8" s="72" t="e">
        <f>'[1]0. ГИРА'!AQ8</f>
        <v>#DIV/0!</v>
      </c>
      <c r="AR8" s="71"/>
      <c r="AS8" s="71"/>
      <c r="AT8" s="72" t="e">
        <f>'[1]0. ГИРА'!AT8</f>
        <v>#DIV/0!</v>
      </c>
      <c r="AU8" s="71"/>
      <c r="AV8" s="71"/>
      <c r="AW8" s="72" t="e">
        <f>'[1]0. ГИРА'!AW8</f>
        <v>#DIV/0!</v>
      </c>
      <c r="AX8" s="71"/>
      <c r="AY8" s="71"/>
      <c r="AZ8" s="72" t="e">
        <f>'[1]0. ГИРА'!AZ8</f>
        <v>#DIV/0!</v>
      </c>
      <c r="BA8" s="71"/>
      <c r="BB8" s="71"/>
      <c r="BC8" s="72" t="e">
        <f>'[1]0. ГИРА'!BC8</f>
        <v>#DIV/0!</v>
      </c>
      <c r="BD8" s="71"/>
      <c r="BE8" s="71"/>
      <c r="BF8" s="72" t="e">
        <f>'[1]0. ГИРА'!BF8</f>
        <v>#DIV/0!</v>
      </c>
      <c r="BG8" s="71"/>
      <c r="BH8" s="71"/>
      <c r="BI8" s="72" t="e">
        <f>'[1]0. ГИРА'!BI8</f>
        <v>#DIV/0!</v>
      </c>
      <c r="BJ8" s="71"/>
      <c r="BK8" s="71"/>
      <c r="BL8" s="72" t="e">
        <f>'[1]0. ГИРА'!BL8</f>
        <v>#DIV/0!</v>
      </c>
      <c r="BM8" s="71"/>
      <c r="BN8" s="71"/>
      <c r="BO8" s="72" t="e">
        <f>'[1]0. ГИРА'!BO8</f>
        <v>#DIV/0!</v>
      </c>
      <c r="BP8" s="71"/>
      <c r="BQ8" s="71"/>
      <c r="BR8" s="72" t="e">
        <f>'[1]0. ГИРА'!BR8</f>
        <v>#DIV/0!</v>
      </c>
      <c r="BS8" s="71"/>
      <c r="BT8" s="71"/>
      <c r="BU8" s="72" t="e">
        <f>'[1]0. ГИРА'!BU8</f>
        <v>#DIV/0!</v>
      </c>
      <c r="BV8" s="71"/>
      <c r="BW8" s="71"/>
      <c r="BX8" s="72" t="e">
        <f>'[1]0. ГИРА'!BX8</f>
        <v>#DIV/0!</v>
      </c>
      <c r="BY8" s="71"/>
      <c r="BZ8" s="71"/>
      <c r="CA8" s="72" t="e">
        <f>'[1]0. ГИРА'!CA8</f>
        <v>#DIV/0!</v>
      </c>
      <c r="CB8" s="71"/>
      <c r="CC8" s="71"/>
      <c r="CD8" s="72">
        <f>'[1]0. ГИРА'!CD8</f>
        <v>0</v>
      </c>
    </row>
    <row r="9" spans="1:82" ht="14.1" customHeight="1">
      <c r="A9" s="38" t="s">
        <v>30</v>
      </c>
      <c r="B9" s="34">
        <f>[1]Реестр!P2</f>
        <v>89372840305</v>
      </c>
      <c r="C9" s="20" t="s">
        <v>16</v>
      </c>
      <c r="D9" s="21"/>
      <c r="E9" s="21"/>
      <c r="F9" s="22">
        <f>E9-D9</f>
        <v>0</v>
      </c>
      <c r="G9" s="23">
        <f>G10*B4</f>
        <v>22150.989845112323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M10*$B4</f>
        <v>22150.989845112323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30" customHeight="1">
      <c r="C10" s="20" t="s">
        <v>17</v>
      </c>
      <c r="D10" s="24"/>
      <c r="E10" s="24"/>
      <c r="F10" s="24"/>
      <c r="G10" s="25">
        <f>'[1]0. ГИРА'!G10</f>
        <v>179.50559031695562</v>
      </c>
      <c r="H10" s="24"/>
      <c r="I10" s="24"/>
      <c r="J10" s="25">
        <f>'[1]0. ГИРА'!J10</f>
        <v>215.40670838034677</v>
      </c>
      <c r="K10" s="24"/>
      <c r="L10" s="24"/>
      <c r="M10" s="25">
        <f>'[1]0. ГИРА'!M10</f>
        <v>179.50559031695562</v>
      </c>
      <c r="N10" s="24"/>
      <c r="O10" s="24"/>
      <c r="P10" s="25">
        <f>'[1]0. ГИРА'!P10</f>
        <v>0</v>
      </c>
      <c r="Q10" s="24"/>
      <c r="R10" s="24"/>
      <c r="S10" s="25">
        <f>'[1]0. ГИРА'!S10</f>
        <v>0</v>
      </c>
      <c r="T10" s="24"/>
      <c r="U10" s="24"/>
      <c r="V10" s="25">
        <f>'[1]0. ГИРА'!V10</f>
        <v>0</v>
      </c>
      <c r="W10" s="24"/>
      <c r="X10" s="24"/>
      <c r="Y10" s="25">
        <f>'[1]0. ГИРА'!Y10</f>
        <v>0</v>
      </c>
      <c r="Z10" s="24"/>
      <c r="AA10" s="24"/>
      <c r="AB10" s="25">
        <f>'[1]0. ГИРА'!AB10</f>
        <v>0</v>
      </c>
      <c r="AC10" s="24"/>
      <c r="AD10" s="24"/>
      <c r="AE10" s="25">
        <f>'[1]0. ГИРА'!AE10</f>
        <v>0</v>
      </c>
      <c r="AF10" s="24"/>
      <c r="AG10" s="24"/>
      <c r="AH10" s="25">
        <f>'[1]0. ГИРА'!AH10</f>
        <v>0</v>
      </c>
      <c r="AI10" s="24"/>
      <c r="AJ10" s="24"/>
      <c r="AK10" s="25">
        <f>'[1]0. ГИРА'!AK10</f>
        <v>0</v>
      </c>
      <c r="AL10" s="24"/>
      <c r="AM10" s="24"/>
      <c r="AN10" s="25">
        <f>'[1]0. ГИРА'!AN10</f>
        <v>0</v>
      </c>
      <c r="AO10" s="24"/>
      <c r="AP10" s="24"/>
      <c r="AQ10" s="25">
        <f>'[1]0. ГИРА'!AQ10</f>
        <v>0</v>
      </c>
      <c r="AR10" s="24"/>
      <c r="AS10" s="24"/>
      <c r="AT10" s="25">
        <f>'[1]0. ГИРА'!AT10</f>
        <v>0</v>
      </c>
      <c r="AU10" s="24"/>
      <c r="AV10" s="24"/>
      <c r="AW10" s="25">
        <f>'[1]0. ГИРА'!AW10</f>
        <v>0</v>
      </c>
      <c r="AX10" s="24"/>
      <c r="AY10" s="24"/>
      <c r="AZ10" s="25">
        <f>'[1]0. ГИРА'!AZ10</f>
        <v>0</v>
      </c>
      <c r="BA10" s="24"/>
      <c r="BB10" s="24"/>
      <c r="BC10" s="25">
        <f>'[1]0. ГИРА'!BC10</f>
        <v>0</v>
      </c>
      <c r="BD10" s="24"/>
      <c r="BE10" s="24"/>
      <c r="BF10" s="25">
        <f>'[1]0. ГИРА'!BF10</f>
        <v>0</v>
      </c>
      <c r="BG10" s="24"/>
      <c r="BH10" s="24"/>
      <c r="BI10" s="25">
        <f>'[1]0. ГИРА'!BI10</f>
        <v>0</v>
      </c>
      <c r="BJ10" s="24"/>
      <c r="BK10" s="24"/>
      <c r="BL10" s="25">
        <f>'[1]0. ГИРА'!BL10</f>
        <v>0</v>
      </c>
      <c r="BM10" s="24"/>
      <c r="BN10" s="24"/>
      <c r="BO10" s="25">
        <f>'[1]0. ГИРА'!BO10</f>
        <v>0</v>
      </c>
      <c r="BP10" s="24"/>
      <c r="BQ10" s="24"/>
      <c r="BR10" s="25">
        <f>'[1]0. ГИРА'!BR10</f>
        <v>0</v>
      </c>
      <c r="BS10" s="24"/>
      <c r="BT10" s="24"/>
      <c r="BU10" s="25">
        <f>'[1]0. ГИРА'!BU10</f>
        <v>4.3081341676069349E-2</v>
      </c>
      <c r="BV10" s="24"/>
      <c r="BW10" s="24"/>
      <c r="BX10" s="25">
        <f>'[1]0. ГИРА'!BX10</f>
        <v>4.5132834136834561E-2</v>
      </c>
      <c r="BY10" s="24"/>
      <c r="BZ10" s="24"/>
      <c r="CA10" s="25">
        <f>'[1]0. ГИРА'!CA10</f>
        <v>4.7184326597599767E-2</v>
      </c>
      <c r="CB10" s="24"/>
      <c r="CC10" s="24"/>
      <c r="CD10" s="25">
        <f>'[1]0. ГИРА'!CD10</f>
        <v>0</v>
      </c>
    </row>
    <row r="11" spans="1:82">
      <c r="A11" s="67" t="s">
        <v>31</v>
      </c>
      <c r="C11" s="26" t="s">
        <v>18</v>
      </c>
      <c r="D11" s="21"/>
      <c r="E11" s="21"/>
      <c r="F11" s="22">
        <f>E11-D11</f>
        <v>0</v>
      </c>
      <c r="G11" s="23">
        <f>'[1]0. ГИРА'!G12</f>
        <v>174.37685916504262</v>
      </c>
      <c r="H11" s="21"/>
      <c r="I11" s="22">
        <f>H11-G11</f>
        <v>-174.37685916504262</v>
      </c>
      <c r="J11" s="23">
        <f>'[1]0. ГИРА'!J12</f>
        <v>174.37685916504262</v>
      </c>
      <c r="K11" s="21"/>
      <c r="L11" s="22">
        <f>K11-J11</f>
        <v>-174.37685916504262</v>
      </c>
      <c r="M11" s="23">
        <f>'[1]0. ГИРА'!M12</f>
        <v>164.11939686121659</v>
      </c>
      <c r="N11" s="21"/>
      <c r="O11" s="22">
        <f>N11-M11</f>
        <v>-164.11939686121659</v>
      </c>
      <c r="P11" s="23">
        <f>'[1]0. ГИРА'!P12</f>
        <v>0</v>
      </c>
      <c r="Q11" s="21"/>
      <c r="R11" s="22">
        <f>Q11-P11</f>
        <v>0</v>
      </c>
      <c r="S11" s="23">
        <f>'[1]0. ГИРА'!S12</f>
        <v>0</v>
      </c>
      <c r="T11" s="21"/>
      <c r="U11" s="22">
        <f>T11-S11</f>
        <v>0</v>
      </c>
      <c r="V11" s="23">
        <f>'[1]0. ГИРА'!V12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'[1]0. ГИРА'!G12</f>
        <v>174.37685916504262</v>
      </c>
      <c r="H12" s="24"/>
      <c r="I12" s="24"/>
      <c r="J12" s="25">
        <f>'[1]0. ГИРА'!J12</f>
        <v>174.37685916504262</v>
      </c>
      <c r="K12" s="24"/>
      <c r="L12" s="24"/>
      <c r="M12" s="25">
        <f>'[1]0. ГИРА'!M12</f>
        <v>164.11939686121659</v>
      </c>
      <c r="N12" s="24"/>
      <c r="O12" s="24"/>
      <c r="P12" s="25">
        <f>'[1]0. ГИРА'!P12</f>
        <v>0</v>
      </c>
      <c r="Q12" s="24"/>
      <c r="R12" s="24"/>
      <c r="S12" s="25">
        <f>'[1]0. ГИРА'!S12</f>
        <v>0</v>
      </c>
      <c r="T12" s="24"/>
      <c r="U12" s="24"/>
      <c r="V12" s="25">
        <f>'[1]0. ГИРА'!V12</f>
        <v>0</v>
      </c>
      <c r="W12" s="24"/>
      <c r="X12" s="24"/>
      <c r="Y12" s="25">
        <f>'[1]0. ГИРА'!Y12</f>
        <v>0</v>
      </c>
      <c r="Z12" s="24"/>
      <c r="AA12" s="24"/>
      <c r="AB12" s="25">
        <f>'[1]0. ГИРА'!AB12</f>
        <v>0</v>
      </c>
      <c r="AC12" s="24"/>
      <c r="AD12" s="24"/>
      <c r="AE12" s="25">
        <f>'[1]0. ГИРА'!AE12</f>
        <v>0</v>
      </c>
      <c r="AF12" s="24"/>
      <c r="AG12" s="24"/>
      <c r="AH12" s="25">
        <f>'[1]0. ГИРА'!AH12</f>
        <v>0</v>
      </c>
      <c r="AI12" s="24"/>
      <c r="AJ12" s="24"/>
      <c r="AK12" s="25">
        <f>'[1]0. ГИРА'!AK12</f>
        <v>0</v>
      </c>
      <c r="AL12" s="24"/>
      <c r="AM12" s="24"/>
      <c r="AN12" s="25">
        <f>'[1]0. ГИРА'!AN12</f>
        <v>0</v>
      </c>
      <c r="AO12" s="24"/>
      <c r="AP12" s="24"/>
      <c r="AQ12" s="25">
        <f>'[1]0. ГИРА'!AQ12</f>
        <v>0</v>
      </c>
      <c r="AR12" s="24"/>
      <c r="AS12" s="24"/>
      <c r="AT12" s="25">
        <f>'[1]0. ГИРА'!AT12</f>
        <v>0</v>
      </c>
      <c r="AU12" s="24"/>
      <c r="AV12" s="24"/>
      <c r="AW12" s="25">
        <f>'[1]0. ГИРА'!AW12</f>
        <v>0</v>
      </c>
      <c r="AX12" s="24"/>
      <c r="AY12" s="24"/>
      <c r="AZ12" s="25">
        <f>'[1]0. ГИРА'!AZ12</f>
        <v>0</v>
      </c>
      <c r="BA12" s="24"/>
      <c r="BB12" s="24"/>
      <c r="BC12" s="25">
        <f>'[1]0. ГИРА'!BC12</f>
        <v>0</v>
      </c>
      <c r="BD12" s="24"/>
      <c r="BE12" s="24"/>
      <c r="BF12" s="25">
        <f>'[1]0. ГИРА'!BF12</f>
        <v>0</v>
      </c>
      <c r="BG12" s="24"/>
      <c r="BH12" s="24"/>
      <c r="BI12" s="25">
        <f>'[1]0. ГИРА'!BI12</f>
        <v>0</v>
      </c>
      <c r="BJ12" s="24"/>
      <c r="BK12" s="24"/>
      <c r="BL12" s="25">
        <f>'[1]0. ГИРА'!BL12</f>
        <v>0</v>
      </c>
      <c r="BM12" s="24"/>
      <c r="BN12" s="24"/>
      <c r="BO12" s="25">
        <f>'[1]0. ГИРА'!BO12</f>
        <v>0</v>
      </c>
      <c r="BP12" s="24"/>
      <c r="BQ12" s="24"/>
      <c r="BR12" s="25">
        <f>'[1]0. ГИРА'!BR12</f>
        <v>0</v>
      </c>
      <c r="BS12" s="24"/>
      <c r="BT12" s="24"/>
      <c r="BU12" s="25">
        <f>'[1]0. ГИРА'!BU12</f>
        <v>4.3081341676069349E-2</v>
      </c>
      <c r="BV12" s="24"/>
      <c r="BW12" s="24"/>
      <c r="BX12" s="25">
        <f>'[1]0. ГИРА'!BX12</f>
        <v>4.5132834136834561E-2</v>
      </c>
      <c r="BY12" s="24"/>
      <c r="BZ12" s="24"/>
      <c r="CA12" s="25">
        <f>'[1]0. ГИРА'!CA12</f>
        <v>4.7184326597599767E-2</v>
      </c>
      <c r="CB12" s="24"/>
      <c r="CC12" s="24"/>
      <c r="CD12" s="25">
        <f>'[1]0. ГИРА'!CD12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D12"/>
  <sheetViews>
    <sheetView workbookViewId="0"/>
  </sheetViews>
  <sheetFormatPr defaultColWidth="11.42578125" defaultRowHeight="15"/>
  <cols>
    <col min="13" max="13" width="13" customWidth="1"/>
  </cols>
  <sheetData>
    <row r="1" spans="1:82">
      <c r="A1" s="33" t="s">
        <v>9</v>
      </c>
      <c r="B1" s="33">
        <f>[1]Реестр!D2</f>
        <v>444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[2]Реестр!B2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 ht="30" customHeight="1">
      <c r="A3" s="33" t="s">
        <v>24</v>
      </c>
      <c r="B3" s="34" t="str">
        <f>[2]Реестр!F2</f>
        <v>Гареева А.В.</v>
      </c>
      <c r="C3" s="20" t="s">
        <v>8</v>
      </c>
      <c r="D3" s="21">
        <v>0</v>
      </c>
      <c r="E3" s="21">
        <v>0</v>
      </c>
      <c r="F3" s="22">
        <f>E3-D3</f>
        <v>0</v>
      </c>
      <c r="G3" s="23">
        <f>F3*G4</f>
        <v>0</v>
      </c>
      <c r="H3" s="21">
        <v>0</v>
      </c>
      <c r="I3" s="22">
        <f>H3-E3</f>
        <v>0</v>
      </c>
      <c r="J3" s="23">
        <f>I3*J4</f>
        <v>0</v>
      </c>
      <c r="K3" s="21">
        <v>0</v>
      </c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 ht="30" customHeight="1">
      <c r="A4" s="33" t="s">
        <v>7</v>
      </c>
      <c r="B4" s="34">
        <f>[2]Реестр!H2</f>
        <v>123.4</v>
      </c>
      <c r="C4" s="20" t="s">
        <v>10</v>
      </c>
      <c r="D4" s="24"/>
      <c r="E4" s="24"/>
      <c r="F4" s="24"/>
      <c r="G4" s="25">
        <f>'[1]0. ГИРА'!G4</f>
        <v>6</v>
      </c>
      <c r="H4" s="24"/>
      <c r="I4" s="24"/>
      <c r="J4" s="25">
        <f>'[1]0. ГИРА'!J4</f>
        <v>6</v>
      </c>
      <c r="K4" s="24"/>
      <c r="L4" s="24"/>
      <c r="M4" s="25">
        <f>'[1]0. ГИРА'!M4</f>
        <v>6</v>
      </c>
      <c r="N4" s="24"/>
      <c r="O4" s="24"/>
      <c r="P4" s="25">
        <f>'[1]0. ГИРА'!P4</f>
        <v>0</v>
      </c>
      <c r="Q4" s="24"/>
      <c r="R4" s="24"/>
      <c r="S4" s="25" t="e">
        <f>'[1]0. ГИРА'!S4</f>
        <v>#DIV/0!</v>
      </c>
      <c r="T4" s="24"/>
      <c r="U4" s="24"/>
      <c r="V4" s="25" t="e">
        <f>'[1]0. ГИРА'!V4</f>
        <v>#DIV/0!</v>
      </c>
      <c r="W4" s="24"/>
      <c r="X4" s="24"/>
      <c r="Y4" s="25" t="e">
        <f>'[1]0. ГИРА'!Y4</f>
        <v>#DIV/0!</v>
      </c>
      <c r="Z4" s="24"/>
      <c r="AA4" s="24"/>
      <c r="AB4" s="25" t="e">
        <f>'[1]0. ГИРА'!AB4</f>
        <v>#DIV/0!</v>
      </c>
      <c r="AC4" s="24"/>
      <c r="AD4" s="24"/>
      <c r="AE4" s="25" t="e">
        <f>'[1]0. ГИРА'!AE4</f>
        <v>#DIV/0!</v>
      </c>
      <c r="AF4" s="24"/>
      <c r="AG4" s="24"/>
      <c r="AH4" s="25" t="e">
        <f>'[1]0. ГИРА'!AH4</f>
        <v>#DIV/0!</v>
      </c>
      <c r="AI4" s="24"/>
      <c r="AJ4" s="24"/>
      <c r="AK4" s="25" t="e">
        <f>'[1]0. ГИРА'!AK4</f>
        <v>#DIV/0!</v>
      </c>
      <c r="AL4" s="24"/>
      <c r="AM4" s="24"/>
      <c r="AN4" s="25" t="e">
        <f>'[1]0. ГИРА'!AN4</f>
        <v>#DIV/0!</v>
      </c>
      <c r="AO4" s="24"/>
      <c r="AP4" s="24"/>
      <c r="AQ4" s="25" t="e">
        <f>'[1]0. ГИРА'!AQ4</f>
        <v>#DIV/0!</v>
      </c>
      <c r="AR4" s="24"/>
      <c r="AS4" s="24"/>
      <c r="AT4" s="25" t="e">
        <f>'[1]0. ГИРА'!AT4</f>
        <v>#DIV/0!</v>
      </c>
      <c r="AU4" s="24"/>
      <c r="AV4" s="24"/>
      <c r="AW4" s="25" t="e">
        <f>'[1]0. ГИРА'!AW4</f>
        <v>#DIV/0!</v>
      </c>
      <c r="AX4" s="24"/>
      <c r="AY4" s="24"/>
      <c r="AZ4" s="25" t="e">
        <f>'[1]0. ГИРА'!AZ4</f>
        <v>#DIV/0!</v>
      </c>
      <c r="BA4" s="24"/>
      <c r="BB4" s="24"/>
      <c r="BC4" s="25" t="e">
        <f>'[1]0. ГИРА'!BC4</f>
        <v>#DIV/0!</v>
      </c>
      <c r="BD4" s="24"/>
      <c r="BE4" s="24"/>
      <c r="BF4" s="25" t="e">
        <f>'[1]0. ГИРА'!BF4</f>
        <v>#DIV/0!</v>
      </c>
      <c r="BG4" s="24"/>
      <c r="BH4" s="24"/>
      <c r="BI4" s="25" t="e">
        <f>'[1]0. ГИРА'!BI4</f>
        <v>#DIV/0!</v>
      </c>
      <c r="BJ4" s="24"/>
      <c r="BK4" s="24"/>
      <c r="BL4" s="25" t="e">
        <f>'[1]0. ГИРА'!BL4</f>
        <v>#DIV/0!</v>
      </c>
      <c r="BM4" s="24"/>
      <c r="BN4" s="24"/>
      <c r="BO4" s="25" t="e">
        <f>'[1]0. ГИРА'!BO4</f>
        <v>#DIV/0!</v>
      </c>
      <c r="BP4" s="24"/>
      <c r="BQ4" s="24"/>
      <c r="BR4" s="25" t="e">
        <f>'[1]0. ГИРА'!BR4</f>
        <v>#DIV/0!</v>
      </c>
      <c r="BS4" s="24"/>
      <c r="BT4" s="24"/>
      <c r="BU4" s="25" t="e">
        <f>'[1]0. ГИРА'!BU4</f>
        <v>#DIV/0!</v>
      </c>
      <c r="BV4" s="24"/>
      <c r="BW4" s="24"/>
      <c r="BX4" s="25" t="e">
        <f>'[1]0. ГИРА'!BX4</f>
        <v>#DIV/0!</v>
      </c>
      <c r="BY4" s="24"/>
      <c r="BZ4" s="24"/>
      <c r="CA4" s="25" t="e">
        <f>'[1]0. ГИРА'!CA4</f>
        <v>#DIV/0!</v>
      </c>
      <c r="CB4" s="24"/>
      <c r="CC4" s="24"/>
      <c r="CD4" s="25">
        <f>'[1]0. ГИРА'!CD4</f>
        <v>0</v>
      </c>
    </row>
    <row r="5" spans="1:82" ht="45" customHeight="1">
      <c r="C5" s="30" t="s">
        <v>12</v>
      </c>
      <c r="D5" s="21">
        <v>0</v>
      </c>
      <c r="E5" s="21">
        <v>0</v>
      </c>
      <c r="F5" s="22">
        <f>E5-D5</f>
        <v>0</v>
      </c>
      <c r="G5" s="23"/>
      <c r="H5" s="21">
        <v>0</v>
      </c>
      <c r="I5" s="22">
        <f>H5-E5</f>
        <v>0</v>
      </c>
      <c r="J5" s="23">
        <f>I5*J6</f>
        <v>0</v>
      </c>
      <c r="K5" s="21">
        <v>0</v>
      </c>
      <c r="L5" s="22">
        <f>K5-H5</f>
        <v>0</v>
      </c>
      <c r="M5" s="23">
        <f>L5*M6</f>
        <v>0</v>
      </c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45" customHeight="1">
      <c r="A6" s="37" t="s">
        <v>26</v>
      </c>
      <c r="B6" s="34" t="str">
        <f>[1]Реестр!M2</f>
        <v xml:space="preserve">Альфия    </v>
      </c>
      <c r="C6" s="30" t="s">
        <v>13</v>
      </c>
      <c r="D6" s="24"/>
      <c r="E6" s="24"/>
      <c r="F6" s="24"/>
      <c r="G6" s="25">
        <f>'[1]0. ГИРА'!G6</f>
        <v>60</v>
      </c>
      <c r="H6" s="24"/>
      <c r="I6" s="24"/>
      <c r="J6" s="25">
        <f>'[1]0. ГИРА'!J6</f>
        <v>60</v>
      </c>
      <c r="K6" s="24"/>
      <c r="L6" s="24"/>
      <c r="M6" s="25">
        <f>'[1]0. ГИРА'!M6</f>
        <v>60</v>
      </c>
      <c r="N6" s="24"/>
      <c r="O6" s="24"/>
      <c r="P6" s="25">
        <f>'[1]0. ГИРА'!P6</f>
        <v>0</v>
      </c>
      <c r="Q6" s="24"/>
      <c r="R6" s="24"/>
      <c r="S6" s="25" t="e">
        <f>'[1]0. ГИРА'!S6</f>
        <v>#DIV/0!</v>
      </c>
      <c r="T6" s="24"/>
      <c r="U6" s="24"/>
      <c r="V6" s="25" t="e">
        <f>'[1]0. ГИРА'!V6</f>
        <v>#DIV/0!</v>
      </c>
      <c r="W6" s="24"/>
      <c r="X6" s="24"/>
      <c r="Y6" s="25" t="e">
        <f>'[1]0. ГИРА'!Y6</f>
        <v>#DIV/0!</v>
      </c>
      <c r="Z6" s="24"/>
      <c r="AA6" s="24"/>
      <c r="AB6" s="25" t="e">
        <f>'[1]0. ГИРА'!AB6</f>
        <v>#DIV/0!</v>
      </c>
      <c r="AC6" s="24"/>
      <c r="AD6" s="24"/>
      <c r="AE6" s="25" t="e">
        <f>'[1]0. ГИРА'!AE6</f>
        <v>#DIV/0!</v>
      </c>
      <c r="AF6" s="24"/>
      <c r="AG6" s="24"/>
      <c r="AH6" s="25" t="e">
        <f>'[1]0. ГИРА'!AH6</f>
        <v>#DIV/0!</v>
      </c>
      <c r="AI6" s="24"/>
      <c r="AJ6" s="24"/>
      <c r="AK6" s="25" t="e">
        <f>'[1]0. ГИРА'!AK6</f>
        <v>#DIV/0!</v>
      </c>
      <c r="AL6" s="24"/>
      <c r="AM6" s="24"/>
      <c r="AN6" s="25" t="e">
        <f>'[1]0. ГИРА'!AN6</f>
        <v>#DIV/0!</v>
      </c>
      <c r="AO6" s="24"/>
      <c r="AP6" s="24"/>
      <c r="AQ6" s="25" t="e">
        <f>'[1]0. ГИРА'!AQ6</f>
        <v>#DIV/0!</v>
      </c>
      <c r="AR6" s="24"/>
      <c r="AS6" s="24"/>
      <c r="AT6" s="25" t="e">
        <f>'[1]0. ГИРА'!AT6</f>
        <v>#DIV/0!</v>
      </c>
      <c r="AU6" s="24"/>
      <c r="AV6" s="24"/>
      <c r="AW6" s="25" t="e">
        <f>'[1]0. ГИРА'!AW6</f>
        <v>#DIV/0!</v>
      </c>
      <c r="AX6" s="24"/>
      <c r="AY6" s="24"/>
      <c r="AZ6" s="25" t="e">
        <f>'[1]0. ГИРА'!AZ6</f>
        <v>#DIV/0!</v>
      </c>
      <c r="BA6" s="24"/>
      <c r="BB6" s="24"/>
      <c r="BC6" s="25" t="e">
        <f>'[1]0. ГИРА'!BC6</f>
        <v>#DIV/0!</v>
      </c>
      <c r="BD6" s="24"/>
      <c r="BE6" s="24"/>
      <c r="BF6" s="25" t="e">
        <f>'[1]0. ГИРА'!BF6</f>
        <v>#DIV/0!</v>
      </c>
      <c r="BG6" s="24"/>
      <c r="BH6" s="24"/>
      <c r="BI6" s="25" t="e">
        <f>'[1]0. ГИРА'!BI6</f>
        <v>#DIV/0!</v>
      </c>
      <c r="BJ6" s="24"/>
      <c r="BK6" s="24"/>
      <c r="BL6" s="25" t="e">
        <f>'[1]0. ГИРА'!BL6</f>
        <v>#DIV/0!</v>
      </c>
      <c r="BM6" s="24"/>
      <c r="BN6" s="24"/>
      <c r="BO6" s="25" t="e">
        <f>'[1]0. ГИРА'!BO6</f>
        <v>#DIV/0!</v>
      </c>
      <c r="BP6" s="24"/>
      <c r="BQ6" s="24"/>
      <c r="BR6" s="25" t="e">
        <f>'[1]0. ГИРА'!BR6</f>
        <v>#DIV/0!</v>
      </c>
      <c r="BS6" s="24"/>
      <c r="BT6" s="24"/>
      <c r="BU6" s="25" t="e">
        <f>'[1]0. ГИРА'!BU6</f>
        <v>#DIV/0!</v>
      </c>
      <c r="BV6" s="24"/>
      <c r="BW6" s="24"/>
      <c r="BX6" s="25" t="e">
        <f>'[1]0. ГИРА'!BX6</f>
        <v>#DIV/0!</v>
      </c>
      <c r="BY6" s="24"/>
      <c r="BZ6" s="24"/>
      <c r="CA6" s="25" t="e">
        <f>'[1]0. ГИРА'!CA6</f>
        <v>#DIV/0!</v>
      </c>
      <c r="CB6" s="24"/>
      <c r="CC6" s="24"/>
      <c r="CD6" s="25">
        <f>'[1]0. ГИРА'!CD6</f>
        <v>0</v>
      </c>
    </row>
    <row r="7" spans="1:82" ht="45" customHeight="1">
      <c r="A7" s="38" t="s">
        <v>27</v>
      </c>
      <c r="B7" s="33">
        <f>[1]Реестр!N2</f>
        <v>89503228511</v>
      </c>
      <c r="C7" s="30" t="s">
        <v>14</v>
      </c>
      <c r="D7" s="68">
        <v>0</v>
      </c>
      <c r="E7" s="68">
        <v>0</v>
      </c>
      <c r="F7" s="69">
        <f>E7-D7</f>
        <v>0</v>
      </c>
      <c r="G7" s="70">
        <f>G8*F7</f>
        <v>0</v>
      </c>
      <c r="H7" s="68">
        <v>0</v>
      </c>
      <c r="I7" s="22">
        <f>H7-E7</f>
        <v>0</v>
      </c>
      <c r="J7" s="70">
        <f>J8*I7</f>
        <v>0</v>
      </c>
      <c r="K7" s="68">
        <v>0</v>
      </c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45" customHeight="1">
      <c r="A8" s="37" t="s">
        <v>29</v>
      </c>
      <c r="B8" s="33" t="str">
        <f>[1]Реестр!O2</f>
        <v>Карина</v>
      </c>
      <c r="C8" s="30" t="s">
        <v>15</v>
      </c>
      <c r="D8" s="71"/>
      <c r="E8" s="71"/>
      <c r="F8" s="71"/>
      <c r="G8" s="72">
        <f>'[1]0. ГИРА'!G8</f>
        <v>300</v>
      </c>
      <c r="H8" s="71"/>
      <c r="I8" s="71"/>
      <c r="J8" s="72">
        <f>'[1]0. ГИРА'!J8</f>
        <v>300</v>
      </c>
      <c r="K8" s="71"/>
      <c r="L8" s="71"/>
      <c r="M8" s="72">
        <f>'[1]0. ГИРА'!M8</f>
        <v>300</v>
      </c>
      <c r="N8" s="71"/>
      <c r="O8" s="71"/>
      <c r="P8" s="72">
        <f>'[1]0. ГИРА'!P8</f>
        <v>0</v>
      </c>
      <c r="Q8" s="71"/>
      <c r="R8" s="71"/>
      <c r="S8" s="72" t="e">
        <f>'[1]0. ГИРА'!S8</f>
        <v>#DIV/0!</v>
      </c>
      <c r="T8" s="71"/>
      <c r="U8" s="71"/>
      <c r="V8" s="72" t="e">
        <f>'[1]0. ГИРА'!V8</f>
        <v>#DIV/0!</v>
      </c>
      <c r="W8" s="71"/>
      <c r="X8" s="71"/>
      <c r="Y8" s="72" t="e">
        <f>'[1]0. ГИРА'!Y8</f>
        <v>#DIV/0!</v>
      </c>
      <c r="Z8" s="71"/>
      <c r="AA8" s="71"/>
      <c r="AB8" s="72" t="e">
        <f>'[1]0. ГИРА'!AB8</f>
        <v>#DIV/0!</v>
      </c>
      <c r="AC8" s="71"/>
      <c r="AD8" s="71"/>
      <c r="AE8" s="72" t="e">
        <f>'[1]0. ГИРА'!AE8</f>
        <v>#DIV/0!</v>
      </c>
      <c r="AF8" s="71"/>
      <c r="AG8" s="71"/>
      <c r="AH8" s="72" t="e">
        <f>'[1]0. ГИРА'!AH8</f>
        <v>#DIV/0!</v>
      </c>
      <c r="AI8" s="71"/>
      <c r="AJ8" s="71"/>
      <c r="AK8" s="72" t="e">
        <f>'[1]0. ГИРА'!AK8</f>
        <v>#DIV/0!</v>
      </c>
      <c r="AL8" s="71"/>
      <c r="AM8" s="71"/>
      <c r="AN8" s="72" t="e">
        <f>'[1]0. ГИРА'!AN8</f>
        <v>#DIV/0!</v>
      </c>
      <c r="AO8" s="71"/>
      <c r="AP8" s="71"/>
      <c r="AQ8" s="72" t="e">
        <f>'[1]0. ГИРА'!AQ8</f>
        <v>#DIV/0!</v>
      </c>
      <c r="AR8" s="71"/>
      <c r="AS8" s="71"/>
      <c r="AT8" s="72" t="e">
        <f>'[1]0. ГИРА'!AT8</f>
        <v>#DIV/0!</v>
      </c>
      <c r="AU8" s="71"/>
      <c r="AV8" s="71"/>
      <c r="AW8" s="72" t="e">
        <f>'[1]0. ГИРА'!AW8</f>
        <v>#DIV/0!</v>
      </c>
      <c r="AX8" s="71"/>
      <c r="AY8" s="71"/>
      <c r="AZ8" s="72" t="e">
        <f>'[1]0. ГИРА'!AZ8</f>
        <v>#DIV/0!</v>
      </c>
      <c r="BA8" s="71"/>
      <c r="BB8" s="71"/>
      <c r="BC8" s="72" t="e">
        <f>'[1]0. ГИРА'!BC8</f>
        <v>#DIV/0!</v>
      </c>
      <c r="BD8" s="71"/>
      <c r="BE8" s="71"/>
      <c r="BF8" s="72" t="e">
        <f>'[1]0. ГИРА'!BF8</f>
        <v>#DIV/0!</v>
      </c>
      <c r="BG8" s="71"/>
      <c r="BH8" s="71"/>
      <c r="BI8" s="72" t="e">
        <f>'[1]0. ГИРА'!BI8</f>
        <v>#DIV/0!</v>
      </c>
      <c r="BJ8" s="71"/>
      <c r="BK8" s="71"/>
      <c r="BL8" s="72" t="e">
        <f>'[1]0. ГИРА'!BL8</f>
        <v>#DIV/0!</v>
      </c>
      <c r="BM8" s="71"/>
      <c r="BN8" s="71"/>
      <c r="BO8" s="72" t="e">
        <f>'[1]0. ГИРА'!BO8</f>
        <v>#DIV/0!</v>
      </c>
      <c r="BP8" s="71"/>
      <c r="BQ8" s="71"/>
      <c r="BR8" s="72" t="e">
        <f>'[1]0. ГИРА'!BR8</f>
        <v>#DIV/0!</v>
      </c>
      <c r="BS8" s="71"/>
      <c r="BT8" s="71"/>
      <c r="BU8" s="72" t="e">
        <f>'[1]0. ГИРА'!BU8</f>
        <v>#DIV/0!</v>
      </c>
      <c r="BV8" s="71"/>
      <c r="BW8" s="71"/>
      <c r="BX8" s="72" t="e">
        <f>'[1]0. ГИРА'!BX8</f>
        <v>#DIV/0!</v>
      </c>
      <c r="BY8" s="71"/>
      <c r="BZ8" s="71"/>
      <c r="CA8" s="72" t="e">
        <f>'[1]0. ГИРА'!CA8</f>
        <v>#DIV/0!</v>
      </c>
      <c r="CB8" s="71"/>
      <c r="CC8" s="71"/>
      <c r="CD8" s="72">
        <f>'[1]0. ГИРА'!CD8</f>
        <v>0</v>
      </c>
    </row>
    <row r="9" spans="1:82" ht="14.1" customHeight="1">
      <c r="A9" s="38" t="s">
        <v>30</v>
      </c>
      <c r="B9" s="34">
        <f>[1]Реестр!P2</f>
        <v>89372840305</v>
      </c>
      <c r="C9" s="20" t="s">
        <v>16</v>
      </c>
      <c r="D9" s="21"/>
      <c r="E9" s="21"/>
      <c r="F9" s="22">
        <f>E9-D9</f>
        <v>0</v>
      </c>
      <c r="G9" s="23">
        <f>G10*B4</f>
        <v>22150.989845112323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M10*$B4</f>
        <v>22150.989845112323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30" customHeight="1">
      <c r="C10" s="20" t="s">
        <v>17</v>
      </c>
      <c r="D10" s="24"/>
      <c r="E10" s="24"/>
      <c r="F10" s="24"/>
      <c r="G10" s="25">
        <f>'[1]0. ГИРА'!G10</f>
        <v>179.50559031695562</v>
      </c>
      <c r="H10" s="24"/>
      <c r="I10" s="24"/>
      <c r="J10" s="25">
        <f>'[1]0. ГИРА'!J10</f>
        <v>215.40670838034677</v>
      </c>
      <c r="K10" s="24"/>
      <c r="L10" s="24"/>
      <c r="M10" s="25">
        <f>'[1]0. ГИРА'!M10</f>
        <v>179.50559031695562</v>
      </c>
      <c r="N10" s="24"/>
      <c r="O10" s="24"/>
      <c r="P10" s="25">
        <f>'[1]0. ГИРА'!P10</f>
        <v>0</v>
      </c>
      <c r="Q10" s="24"/>
      <c r="R10" s="24"/>
      <c r="S10" s="25">
        <f>'[1]0. ГИРА'!S10</f>
        <v>0</v>
      </c>
      <c r="T10" s="24"/>
      <c r="U10" s="24"/>
      <c r="V10" s="25">
        <f>'[1]0. ГИРА'!V10</f>
        <v>0</v>
      </c>
      <c r="W10" s="24"/>
      <c r="X10" s="24"/>
      <c r="Y10" s="25">
        <f>'[1]0. ГИРА'!Y10</f>
        <v>0</v>
      </c>
      <c r="Z10" s="24"/>
      <c r="AA10" s="24"/>
      <c r="AB10" s="25">
        <f>'[1]0. ГИРА'!AB10</f>
        <v>0</v>
      </c>
      <c r="AC10" s="24"/>
      <c r="AD10" s="24"/>
      <c r="AE10" s="25">
        <f>'[1]0. ГИРА'!AE10</f>
        <v>0</v>
      </c>
      <c r="AF10" s="24"/>
      <c r="AG10" s="24"/>
      <c r="AH10" s="25">
        <f>'[1]0. ГИРА'!AH10</f>
        <v>0</v>
      </c>
      <c r="AI10" s="24"/>
      <c r="AJ10" s="24"/>
      <c r="AK10" s="25">
        <f>'[1]0. ГИРА'!AK10</f>
        <v>0</v>
      </c>
      <c r="AL10" s="24"/>
      <c r="AM10" s="24"/>
      <c r="AN10" s="25">
        <f>'[1]0. ГИРА'!AN10</f>
        <v>0</v>
      </c>
      <c r="AO10" s="24"/>
      <c r="AP10" s="24"/>
      <c r="AQ10" s="25">
        <f>'[1]0. ГИРА'!AQ10</f>
        <v>0</v>
      </c>
      <c r="AR10" s="24"/>
      <c r="AS10" s="24"/>
      <c r="AT10" s="25">
        <f>'[1]0. ГИРА'!AT10</f>
        <v>0</v>
      </c>
      <c r="AU10" s="24"/>
      <c r="AV10" s="24"/>
      <c r="AW10" s="25">
        <f>'[1]0. ГИРА'!AW10</f>
        <v>0</v>
      </c>
      <c r="AX10" s="24"/>
      <c r="AY10" s="24"/>
      <c r="AZ10" s="25">
        <f>'[1]0. ГИРА'!AZ10</f>
        <v>0</v>
      </c>
      <c r="BA10" s="24"/>
      <c r="BB10" s="24"/>
      <c r="BC10" s="25">
        <f>'[1]0. ГИРА'!BC10</f>
        <v>0</v>
      </c>
      <c r="BD10" s="24"/>
      <c r="BE10" s="24"/>
      <c r="BF10" s="25">
        <f>'[1]0. ГИРА'!BF10</f>
        <v>0</v>
      </c>
      <c r="BG10" s="24"/>
      <c r="BH10" s="24"/>
      <c r="BI10" s="25">
        <f>'[1]0. ГИРА'!BI10</f>
        <v>0</v>
      </c>
      <c r="BJ10" s="24"/>
      <c r="BK10" s="24"/>
      <c r="BL10" s="25">
        <f>'[1]0. ГИРА'!BL10</f>
        <v>0</v>
      </c>
      <c r="BM10" s="24"/>
      <c r="BN10" s="24"/>
      <c r="BO10" s="25">
        <f>'[1]0. ГИРА'!BO10</f>
        <v>0</v>
      </c>
      <c r="BP10" s="24"/>
      <c r="BQ10" s="24"/>
      <c r="BR10" s="25">
        <f>'[1]0. ГИРА'!BR10</f>
        <v>0</v>
      </c>
      <c r="BS10" s="24"/>
      <c r="BT10" s="24"/>
      <c r="BU10" s="25">
        <f>'[1]0. ГИРА'!BU10</f>
        <v>4.3081341676069349E-2</v>
      </c>
      <c r="BV10" s="24"/>
      <c r="BW10" s="24"/>
      <c r="BX10" s="25">
        <f>'[1]0. ГИРА'!BX10</f>
        <v>4.5132834136834561E-2</v>
      </c>
      <c r="BY10" s="24"/>
      <c r="BZ10" s="24"/>
      <c r="CA10" s="25">
        <f>'[1]0. ГИРА'!CA10</f>
        <v>4.7184326597599767E-2</v>
      </c>
      <c r="CB10" s="24"/>
      <c r="CC10" s="24"/>
      <c r="CD10" s="25">
        <f>'[1]0. ГИРА'!CD10</f>
        <v>0</v>
      </c>
    </row>
    <row r="11" spans="1:82">
      <c r="A11" s="67" t="s">
        <v>31</v>
      </c>
      <c r="C11" s="26" t="s">
        <v>18</v>
      </c>
      <c r="D11" s="21"/>
      <c r="E11" s="21"/>
      <c r="F11" s="22">
        <f>E11-D11</f>
        <v>0</v>
      </c>
      <c r="G11" s="23">
        <f>'[1]0. ГИРА'!G12</f>
        <v>174.37685916504262</v>
      </c>
      <c r="H11" s="21"/>
      <c r="I11" s="22">
        <f>H11-G11</f>
        <v>-174.37685916504262</v>
      </c>
      <c r="J11" s="23">
        <f>'[1]0. ГИРА'!J12</f>
        <v>174.37685916504262</v>
      </c>
      <c r="K11" s="21"/>
      <c r="L11" s="22">
        <f>K11-J11</f>
        <v>-174.37685916504262</v>
      </c>
      <c r="M11" s="23">
        <f>'[1]0. ГИРА'!M12</f>
        <v>164.11939686121659</v>
      </c>
      <c r="N11" s="21"/>
      <c r="O11" s="22">
        <f>N11-M11</f>
        <v>-164.11939686121659</v>
      </c>
      <c r="P11" s="23">
        <f>'[1]0. ГИРА'!P12</f>
        <v>0</v>
      </c>
      <c r="Q11" s="21"/>
      <c r="R11" s="22">
        <f>Q11-P11</f>
        <v>0</v>
      </c>
      <c r="S11" s="23">
        <f>'[1]0. ГИРА'!S12</f>
        <v>0</v>
      </c>
      <c r="T11" s="21"/>
      <c r="U11" s="22">
        <f>T11-S11</f>
        <v>0</v>
      </c>
      <c r="V11" s="23">
        <f>'[1]0. ГИРА'!V12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'[1]0. ГИРА'!G12</f>
        <v>174.37685916504262</v>
      </c>
      <c r="H12" s="24"/>
      <c r="I12" s="24"/>
      <c r="J12" s="25">
        <f>'[1]0. ГИРА'!J12</f>
        <v>174.37685916504262</v>
      </c>
      <c r="K12" s="24"/>
      <c r="L12" s="24"/>
      <c r="M12" s="25">
        <f>'[1]0. ГИРА'!M12</f>
        <v>164.11939686121659</v>
      </c>
      <c r="N12" s="24"/>
      <c r="O12" s="24"/>
      <c r="P12" s="25">
        <f>'[1]0. ГИРА'!P12</f>
        <v>0</v>
      </c>
      <c r="Q12" s="24"/>
      <c r="R12" s="24"/>
      <c r="S12" s="25">
        <f>'[1]0. ГИРА'!S12</f>
        <v>0</v>
      </c>
      <c r="T12" s="24"/>
      <c r="U12" s="24"/>
      <c r="V12" s="25">
        <f>'[1]0. ГИРА'!V12</f>
        <v>0</v>
      </c>
      <c r="W12" s="24"/>
      <c r="X12" s="24"/>
      <c r="Y12" s="25">
        <f>'[1]0. ГИРА'!Y12</f>
        <v>0</v>
      </c>
      <c r="Z12" s="24"/>
      <c r="AA12" s="24"/>
      <c r="AB12" s="25">
        <f>'[1]0. ГИРА'!AB12</f>
        <v>0</v>
      </c>
      <c r="AC12" s="24"/>
      <c r="AD12" s="24"/>
      <c r="AE12" s="25">
        <f>'[1]0. ГИРА'!AE12</f>
        <v>0</v>
      </c>
      <c r="AF12" s="24"/>
      <c r="AG12" s="24"/>
      <c r="AH12" s="25">
        <f>'[1]0. ГИРА'!AH12</f>
        <v>0</v>
      </c>
      <c r="AI12" s="24"/>
      <c r="AJ12" s="24"/>
      <c r="AK12" s="25">
        <f>'[1]0. ГИРА'!AK12</f>
        <v>0</v>
      </c>
      <c r="AL12" s="24"/>
      <c r="AM12" s="24"/>
      <c r="AN12" s="25">
        <f>'[1]0. ГИРА'!AN12</f>
        <v>0</v>
      </c>
      <c r="AO12" s="24"/>
      <c r="AP12" s="24"/>
      <c r="AQ12" s="25">
        <f>'[1]0. ГИРА'!AQ12</f>
        <v>0</v>
      </c>
      <c r="AR12" s="24"/>
      <c r="AS12" s="24"/>
      <c r="AT12" s="25">
        <f>'[1]0. ГИРА'!AT12</f>
        <v>0</v>
      </c>
      <c r="AU12" s="24"/>
      <c r="AV12" s="24"/>
      <c r="AW12" s="25">
        <f>'[1]0. ГИРА'!AW12</f>
        <v>0</v>
      </c>
      <c r="AX12" s="24"/>
      <c r="AY12" s="24"/>
      <c r="AZ12" s="25">
        <f>'[1]0. ГИРА'!AZ12</f>
        <v>0</v>
      </c>
      <c r="BA12" s="24"/>
      <c r="BB12" s="24"/>
      <c r="BC12" s="25">
        <f>'[1]0. ГИРА'!BC12</f>
        <v>0</v>
      </c>
      <c r="BD12" s="24"/>
      <c r="BE12" s="24"/>
      <c r="BF12" s="25">
        <f>'[1]0. ГИРА'!BF12</f>
        <v>0</v>
      </c>
      <c r="BG12" s="24"/>
      <c r="BH12" s="24"/>
      <c r="BI12" s="25">
        <f>'[1]0. ГИРА'!BI12</f>
        <v>0</v>
      </c>
      <c r="BJ12" s="24"/>
      <c r="BK12" s="24"/>
      <c r="BL12" s="25">
        <f>'[1]0. ГИРА'!BL12</f>
        <v>0</v>
      </c>
      <c r="BM12" s="24"/>
      <c r="BN12" s="24"/>
      <c r="BO12" s="25">
        <f>'[1]0. ГИРА'!BO12</f>
        <v>0</v>
      </c>
      <c r="BP12" s="24"/>
      <c r="BQ12" s="24"/>
      <c r="BR12" s="25">
        <f>'[1]0. ГИРА'!BR12</f>
        <v>0</v>
      </c>
      <c r="BS12" s="24"/>
      <c r="BT12" s="24"/>
      <c r="BU12" s="25">
        <f>'[1]0. ГИРА'!BU12</f>
        <v>4.3081341676069349E-2</v>
      </c>
      <c r="BV12" s="24"/>
      <c r="BW12" s="24"/>
      <c r="BX12" s="25">
        <f>'[1]0. ГИРА'!BX12</f>
        <v>4.5132834136834561E-2</v>
      </c>
      <c r="BY12" s="24"/>
      <c r="BZ12" s="24"/>
      <c r="CA12" s="25">
        <f>'[1]0. ГИРА'!CA12</f>
        <v>4.7184326597599767E-2</v>
      </c>
      <c r="CB12" s="24"/>
      <c r="CC12" s="24"/>
      <c r="CD12" s="25">
        <f>'[1]0. ГИРА'!CD12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D12"/>
  <sheetViews>
    <sheetView workbookViewId="0"/>
  </sheetViews>
  <sheetFormatPr defaultColWidth="11.42578125" defaultRowHeight="15"/>
  <cols>
    <col min="13" max="13" width="13" customWidth="1"/>
  </cols>
  <sheetData>
    <row r="1" spans="1:82">
      <c r="A1" s="33" t="s">
        <v>9</v>
      </c>
      <c r="B1" s="33">
        <f>[1]Реестр!D2</f>
        <v>444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[2]Реестр!B2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 ht="30" customHeight="1">
      <c r="A3" s="33" t="s">
        <v>24</v>
      </c>
      <c r="B3" s="34" t="str">
        <f>[2]Реестр!F2</f>
        <v>Гареева А.В.</v>
      </c>
      <c r="C3" s="20" t="s">
        <v>8</v>
      </c>
      <c r="D3" s="21">
        <v>0</v>
      </c>
      <c r="E3" s="21">
        <v>0</v>
      </c>
      <c r="F3" s="22">
        <f>E3-D3</f>
        <v>0</v>
      </c>
      <c r="G3" s="23">
        <f>F3*G4</f>
        <v>0</v>
      </c>
      <c r="H3" s="21">
        <v>0</v>
      </c>
      <c r="I3" s="22">
        <f>H3-E3</f>
        <v>0</v>
      </c>
      <c r="J3" s="23">
        <f>I3*J4</f>
        <v>0</v>
      </c>
      <c r="K3" s="21">
        <v>0</v>
      </c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 ht="30" customHeight="1">
      <c r="A4" s="33" t="s">
        <v>7</v>
      </c>
      <c r="B4" s="34">
        <f>[2]Реестр!H2</f>
        <v>123.4</v>
      </c>
      <c r="C4" s="20" t="s">
        <v>10</v>
      </c>
      <c r="D4" s="24"/>
      <c r="E4" s="24"/>
      <c r="F4" s="24"/>
      <c r="G4" s="25">
        <f>'[1]0. ГИРА'!G4</f>
        <v>6</v>
      </c>
      <c r="H4" s="24"/>
      <c r="I4" s="24"/>
      <c r="J4" s="25">
        <f>'[1]0. ГИРА'!J4</f>
        <v>6</v>
      </c>
      <c r="K4" s="24"/>
      <c r="L4" s="24"/>
      <c r="M4" s="25">
        <f>'[1]0. ГИРА'!M4</f>
        <v>6</v>
      </c>
      <c r="N4" s="24"/>
      <c r="O4" s="24"/>
      <c r="P4" s="25">
        <f>'[1]0. ГИРА'!P4</f>
        <v>0</v>
      </c>
      <c r="Q4" s="24"/>
      <c r="R4" s="24"/>
      <c r="S4" s="25" t="e">
        <f>'[1]0. ГИРА'!S4</f>
        <v>#DIV/0!</v>
      </c>
      <c r="T4" s="24"/>
      <c r="U4" s="24"/>
      <c r="V4" s="25" t="e">
        <f>'[1]0. ГИРА'!V4</f>
        <v>#DIV/0!</v>
      </c>
      <c r="W4" s="24"/>
      <c r="X4" s="24"/>
      <c r="Y4" s="25" t="e">
        <f>'[1]0. ГИРА'!Y4</f>
        <v>#DIV/0!</v>
      </c>
      <c r="Z4" s="24"/>
      <c r="AA4" s="24"/>
      <c r="AB4" s="25" t="e">
        <f>'[1]0. ГИРА'!AB4</f>
        <v>#DIV/0!</v>
      </c>
      <c r="AC4" s="24"/>
      <c r="AD4" s="24"/>
      <c r="AE4" s="25" t="e">
        <f>'[1]0. ГИРА'!AE4</f>
        <v>#DIV/0!</v>
      </c>
      <c r="AF4" s="24"/>
      <c r="AG4" s="24"/>
      <c r="AH4" s="25" t="e">
        <f>'[1]0. ГИРА'!AH4</f>
        <v>#DIV/0!</v>
      </c>
      <c r="AI4" s="24"/>
      <c r="AJ4" s="24"/>
      <c r="AK4" s="25" t="e">
        <f>'[1]0. ГИРА'!AK4</f>
        <v>#DIV/0!</v>
      </c>
      <c r="AL4" s="24"/>
      <c r="AM4" s="24"/>
      <c r="AN4" s="25" t="e">
        <f>'[1]0. ГИРА'!AN4</f>
        <v>#DIV/0!</v>
      </c>
      <c r="AO4" s="24"/>
      <c r="AP4" s="24"/>
      <c r="AQ4" s="25" t="e">
        <f>'[1]0. ГИРА'!AQ4</f>
        <v>#DIV/0!</v>
      </c>
      <c r="AR4" s="24"/>
      <c r="AS4" s="24"/>
      <c r="AT4" s="25" t="e">
        <f>'[1]0. ГИРА'!AT4</f>
        <v>#DIV/0!</v>
      </c>
      <c r="AU4" s="24"/>
      <c r="AV4" s="24"/>
      <c r="AW4" s="25" t="e">
        <f>'[1]0. ГИРА'!AW4</f>
        <v>#DIV/0!</v>
      </c>
      <c r="AX4" s="24"/>
      <c r="AY4" s="24"/>
      <c r="AZ4" s="25" t="e">
        <f>'[1]0. ГИРА'!AZ4</f>
        <v>#DIV/0!</v>
      </c>
      <c r="BA4" s="24"/>
      <c r="BB4" s="24"/>
      <c r="BC4" s="25" t="e">
        <f>'[1]0. ГИРА'!BC4</f>
        <v>#DIV/0!</v>
      </c>
      <c r="BD4" s="24"/>
      <c r="BE4" s="24"/>
      <c r="BF4" s="25" t="e">
        <f>'[1]0. ГИРА'!BF4</f>
        <v>#DIV/0!</v>
      </c>
      <c r="BG4" s="24"/>
      <c r="BH4" s="24"/>
      <c r="BI4" s="25" t="e">
        <f>'[1]0. ГИРА'!BI4</f>
        <v>#DIV/0!</v>
      </c>
      <c r="BJ4" s="24"/>
      <c r="BK4" s="24"/>
      <c r="BL4" s="25" t="e">
        <f>'[1]0. ГИРА'!BL4</f>
        <v>#DIV/0!</v>
      </c>
      <c r="BM4" s="24"/>
      <c r="BN4" s="24"/>
      <c r="BO4" s="25" t="e">
        <f>'[1]0. ГИРА'!BO4</f>
        <v>#DIV/0!</v>
      </c>
      <c r="BP4" s="24"/>
      <c r="BQ4" s="24"/>
      <c r="BR4" s="25" t="e">
        <f>'[1]0. ГИРА'!BR4</f>
        <v>#DIV/0!</v>
      </c>
      <c r="BS4" s="24"/>
      <c r="BT4" s="24"/>
      <c r="BU4" s="25" t="e">
        <f>'[1]0. ГИРА'!BU4</f>
        <v>#DIV/0!</v>
      </c>
      <c r="BV4" s="24"/>
      <c r="BW4" s="24"/>
      <c r="BX4" s="25" t="e">
        <f>'[1]0. ГИРА'!BX4</f>
        <v>#DIV/0!</v>
      </c>
      <c r="BY4" s="24"/>
      <c r="BZ4" s="24"/>
      <c r="CA4" s="25" t="e">
        <f>'[1]0. ГИРА'!CA4</f>
        <v>#DIV/0!</v>
      </c>
      <c r="CB4" s="24"/>
      <c r="CC4" s="24"/>
      <c r="CD4" s="25">
        <f>'[1]0. ГИРА'!CD4</f>
        <v>0</v>
      </c>
    </row>
    <row r="5" spans="1:82" ht="45" customHeight="1">
      <c r="C5" s="30" t="s">
        <v>12</v>
      </c>
      <c r="D5" s="21">
        <v>0</v>
      </c>
      <c r="E5" s="21">
        <v>0</v>
      </c>
      <c r="F5" s="22">
        <f>E5-D5</f>
        <v>0</v>
      </c>
      <c r="G5" s="23"/>
      <c r="H5" s="21">
        <v>0</v>
      </c>
      <c r="I5" s="22">
        <f>H5-E5</f>
        <v>0</v>
      </c>
      <c r="J5" s="23">
        <f>I5*J6</f>
        <v>0</v>
      </c>
      <c r="K5" s="21">
        <v>0</v>
      </c>
      <c r="L5" s="22">
        <f>K5-H5</f>
        <v>0</v>
      </c>
      <c r="M5" s="23">
        <f>L5*M6</f>
        <v>0</v>
      </c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45" customHeight="1">
      <c r="A6" s="37" t="s">
        <v>26</v>
      </c>
      <c r="B6" s="34" t="str">
        <f>[1]Реестр!M2</f>
        <v xml:space="preserve">Альфия    </v>
      </c>
      <c r="C6" s="30" t="s">
        <v>13</v>
      </c>
      <c r="D6" s="24"/>
      <c r="E6" s="24"/>
      <c r="F6" s="24"/>
      <c r="G6" s="25">
        <f>'[1]0. ГИРА'!G6</f>
        <v>60</v>
      </c>
      <c r="H6" s="24"/>
      <c r="I6" s="24"/>
      <c r="J6" s="25">
        <f>'[1]0. ГИРА'!J6</f>
        <v>60</v>
      </c>
      <c r="K6" s="24"/>
      <c r="L6" s="24"/>
      <c r="M6" s="25">
        <f>'[1]0. ГИРА'!M6</f>
        <v>60</v>
      </c>
      <c r="N6" s="24"/>
      <c r="O6" s="24"/>
      <c r="P6" s="25">
        <f>'[1]0. ГИРА'!P6</f>
        <v>0</v>
      </c>
      <c r="Q6" s="24"/>
      <c r="R6" s="24"/>
      <c r="S6" s="25" t="e">
        <f>'[1]0. ГИРА'!S6</f>
        <v>#DIV/0!</v>
      </c>
      <c r="T6" s="24"/>
      <c r="U6" s="24"/>
      <c r="V6" s="25" t="e">
        <f>'[1]0. ГИРА'!V6</f>
        <v>#DIV/0!</v>
      </c>
      <c r="W6" s="24"/>
      <c r="X6" s="24"/>
      <c r="Y6" s="25" t="e">
        <f>'[1]0. ГИРА'!Y6</f>
        <v>#DIV/0!</v>
      </c>
      <c r="Z6" s="24"/>
      <c r="AA6" s="24"/>
      <c r="AB6" s="25" t="e">
        <f>'[1]0. ГИРА'!AB6</f>
        <v>#DIV/0!</v>
      </c>
      <c r="AC6" s="24"/>
      <c r="AD6" s="24"/>
      <c r="AE6" s="25" t="e">
        <f>'[1]0. ГИРА'!AE6</f>
        <v>#DIV/0!</v>
      </c>
      <c r="AF6" s="24"/>
      <c r="AG6" s="24"/>
      <c r="AH6" s="25" t="e">
        <f>'[1]0. ГИРА'!AH6</f>
        <v>#DIV/0!</v>
      </c>
      <c r="AI6" s="24"/>
      <c r="AJ6" s="24"/>
      <c r="AK6" s="25" t="e">
        <f>'[1]0. ГИРА'!AK6</f>
        <v>#DIV/0!</v>
      </c>
      <c r="AL6" s="24"/>
      <c r="AM6" s="24"/>
      <c r="AN6" s="25" t="e">
        <f>'[1]0. ГИРА'!AN6</f>
        <v>#DIV/0!</v>
      </c>
      <c r="AO6" s="24"/>
      <c r="AP6" s="24"/>
      <c r="AQ6" s="25" t="e">
        <f>'[1]0. ГИРА'!AQ6</f>
        <v>#DIV/0!</v>
      </c>
      <c r="AR6" s="24"/>
      <c r="AS6" s="24"/>
      <c r="AT6" s="25" t="e">
        <f>'[1]0. ГИРА'!AT6</f>
        <v>#DIV/0!</v>
      </c>
      <c r="AU6" s="24"/>
      <c r="AV6" s="24"/>
      <c r="AW6" s="25" t="e">
        <f>'[1]0. ГИРА'!AW6</f>
        <v>#DIV/0!</v>
      </c>
      <c r="AX6" s="24"/>
      <c r="AY6" s="24"/>
      <c r="AZ6" s="25" t="e">
        <f>'[1]0. ГИРА'!AZ6</f>
        <v>#DIV/0!</v>
      </c>
      <c r="BA6" s="24"/>
      <c r="BB6" s="24"/>
      <c r="BC6" s="25" t="e">
        <f>'[1]0. ГИРА'!BC6</f>
        <v>#DIV/0!</v>
      </c>
      <c r="BD6" s="24"/>
      <c r="BE6" s="24"/>
      <c r="BF6" s="25" t="e">
        <f>'[1]0. ГИРА'!BF6</f>
        <v>#DIV/0!</v>
      </c>
      <c r="BG6" s="24"/>
      <c r="BH6" s="24"/>
      <c r="BI6" s="25" t="e">
        <f>'[1]0. ГИРА'!BI6</f>
        <v>#DIV/0!</v>
      </c>
      <c r="BJ6" s="24"/>
      <c r="BK6" s="24"/>
      <c r="BL6" s="25" t="e">
        <f>'[1]0. ГИРА'!BL6</f>
        <v>#DIV/0!</v>
      </c>
      <c r="BM6" s="24"/>
      <c r="BN6" s="24"/>
      <c r="BO6" s="25" t="e">
        <f>'[1]0. ГИРА'!BO6</f>
        <v>#DIV/0!</v>
      </c>
      <c r="BP6" s="24"/>
      <c r="BQ6" s="24"/>
      <c r="BR6" s="25" t="e">
        <f>'[1]0. ГИРА'!BR6</f>
        <v>#DIV/0!</v>
      </c>
      <c r="BS6" s="24"/>
      <c r="BT6" s="24"/>
      <c r="BU6" s="25" t="e">
        <f>'[1]0. ГИРА'!BU6</f>
        <v>#DIV/0!</v>
      </c>
      <c r="BV6" s="24"/>
      <c r="BW6" s="24"/>
      <c r="BX6" s="25" t="e">
        <f>'[1]0. ГИРА'!BX6</f>
        <v>#DIV/0!</v>
      </c>
      <c r="BY6" s="24"/>
      <c r="BZ6" s="24"/>
      <c r="CA6" s="25" t="e">
        <f>'[1]0. ГИРА'!CA6</f>
        <v>#DIV/0!</v>
      </c>
      <c r="CB6" s="24"/>
      <c r="CC6" s="24"/>
      <c r="CD6" s="25">
        <f>'[1]0. ГИРА'!CD6</f>
        <v>0</v>
      </c>
    </row>
    <row r="7" spans="1:82" ht="45" customHeight="1">
      <c r="A7" s="38" t="s">
        <v>27</v>
      </c>
      <c r="B7" s="33">
        <f>[1]Реестр!N2</f>
        <v>89503228511</v>
      </c>
      <c r="C7" s="30" t="s">
        <v>14</v>
      </c>
      <c r="D7" s="68">
        <v>0</v>
      </c>
      <c r="E7" s="68">
        <v>0</v>
      </c>
      <c r="F7" s="69">
        <f>E7-D7</f>
        <v>0</v>
      </c>
      <c r="G7" s="70">
        <f>G8*F7</f>
        <v>0</v>
      </c>
      <c r="H7" s="68">
        <v>0</v>
      </c>
      <c r="I7" s="22">
        <f>H7-E7</f>
        <v>0</v>
      </c>
      <c r="J7" s="70">
        <f>J8*I7</f>
        <v>0</v>
      </c>
      <c r="K7" s="68">
        <v>0</v>
      </c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45" customHeight="1">
      <c r="A8" s="37" t="s">
        <v>29</v>
      </c>
      <c r="B8" s="33" t="str">
        <f>[1]Реестр!O2</f>
        <v>Карина</v>
      </c>
      <c r="C8" s="30" t="s">
        <v>15</v>
      </c>
      <c r="D8" s="71"/>
      <c r="E8" s="71"/>
      <c r="F8" s="71"/>
      <c r="G8" s="72">
        <f>'[1]0. ГИРА'!G8</f>
        <v>300</v>
      </c>
      <c r="H8" s="71"/>
      <c r="I8" s="71"/>
      <c r="J8" s="72">
        <f>'[1]0. ГИРА'!J8</f>
        <v>300</v>
      </c>
      <c r="K8" s="71"/>
      <c r="L8" s="71"/>
      <c r="M8" s="72">
        <f>'[1]0. ГИРА'!M8</f>
        <v>300</v>
      </c>
      <c r="N8" s="71"/>
      <c r="O8" s="71"/>
      <c r="P8" s="72">
        <f>'[1]0. ГИРА'!P8</f>
        <v>0</v>
      </c>
      <c r="Q8" s="71"/>
      <c r="R8" s="71"/>
      <c r="S8" s="72" t="e">
        <f>'[1]0. ГИРА'!S8</f>
        <v>#DIV/0!</v>
      </c>
      <c r="T8" s="71"/>
      <c r="U8" s="71"/>
      <c r="V8" s="72" t="e">
        <f>'[1]0. ГИРА'!V8</f>
        <v>#DIV/0!</v>
      </c>
      <c r="W8" s="71"/>
      <c r="X8" s="71"/>
      <c r="Y8" s="72" t="e">
        <f>'[1]0. ГИРА'!Y8</f>
        <v>#DIV/0!</v>
      </c>
      <c r="Z8" s="71"/>
      <c r="AA8" s="71"/>
      <c r="AB8" s="72" t="e">
        <f>'[1]0. ГИРА'!AB8</f>
        <v>#DIV/0!</v>
      </c>
      <c r="AC8" s="71"/>
      <c r="AD8" s="71"/>
      <c r="AE8" s="72" t="e">
        <f>'[1]0. ГИРА'!AE8</f>
        <v>#DIV/0!</v>
      </c>
      <c r="AF8" s="71"/>
      <c r="AG8" s="71"/>
      <c r="AH8" s="72" t="e">
        <f>'[1]0. ГИРА'!AH8</f>
        <v>#DIV/0!</v>
      </c>
      <c r="AI8" s="71"/>
      <c r="AJ8" s="71"/>
      <c r="AK8" s="72" t="e">
        <f>'[1]0. ГИРА'!AK8</f>
        <v>#DIV/0!</v>
      </c>
      <c r="AL8" s="71"/>
      <c r="AM8" s="71"/>
      <c r="AN8" s="72" t="e">
        <f>'[1]0. ГИРА'!AN8</f>
        <v>#DIV/0!</v>
      </c>
      <c r="AO8" s="71"/>
      <c r="AP8" s="71"/>
      <c r="AQ8" s="72" t="e">
        <f>'[1]0. ГИРА'!AQ8</f>
        <v>#DIV/0!</v>
      </c>
      <c r="AR8" s="71"/>
      <c r="AS8" s="71"/>
      <c r="AT8" s="72" t="e">
        <f>'[1]0. ГИРА'!AT8</f>
        <v>#DIV/0!</v>
      </c>
      <c r="AU8" s="71"/>
      <c r="AV8" s="71"/>
      <c r="AW8" s="72" t="e">
        <f>'[1]0. ГИРА'!AW8</f>
        <v>#DIV/0!</v>
      </c>
      <c r="AX8" s="71"/>
      <c r="AY8" s="71"/>
      <c r="AZ8" s="72" t="e">
        <f>'[1]0. ГИРА'!AZ8</f>
        <v>#DIV/0!</v>
      </c>
      <c r="BA8" s="71"/>
      <c r="BB8" s="71"/>
      <c r="BC8" s="72" t="e">
        <f>'[1]0. ГИРА'!BC8</f>
        <v>#DIV/0!</v>
      </c>
      <c r="BD8" s="71"/>
      <c r="BE8" s="71"/>
      <c r="BF8" s="72" t="e">
        <f>'[1]0. ГИРА'!BF8</f>
        <v>#DIV/0!</v>
      </c>
      <c r="BG8" s="71"/>
      <c r="BH8" s="71"/>
      <c r="BI8" s="72" t="e">
        <f>'[1]0. ГИРА'!BI8</f>
        <v>#DIV/0!</v>
      </c>
      <c r="BJ8" s="71"/>
      <c r="BK8" s="71"/>
      <c r="BL8" s="72" t="e">
        <f>'[1]0. ГИРА'!BL8</f>
        <v>#DIV/0!</v>
      </c>
      <c r="BM8" s="71"/>
      <c r="BN8" s="71"/>
      <c r="BO8" s="72" t="e">
        <f>'[1]0. ГИРА'!BO8</f>
        <v>#DIV/0!</v>
      </c>
      <c r="BP8" s="71"/>
      <c r="BQ8" s="71"/>
      <c r="BR8" s="72" t="e">
        <f>'[1]0. ГИРА'!BR8</f>
        <v>#DIV/0!</v>
      </c>
      <c r="BS8" s="71"/>
      <c r="BT8" s="71"/>
      <c r="BU8" s="72" t="e">
        <f>'[1]0. ГИРА'!BU8</f>
        <v>#DIV/0!</v>
      </c>
      <c r="BV8" s="71"/>
      <c r="BW8" s="71"/>
      <c r="BX8" s="72" t="e">
        <f>'[1]0. ГИРА'!BX8</f>
        <v>#DIV/0!</v>
      </c>
      <c r="BY8" s="71"/>
      <c r="BZ8" s="71"/>
      <c r="CA8" s="72" t="e">
        <f>'[1]0. ГИРА'!CA8</f>
        <v>#DIV/0!</v>
      </c>
      <c r="CB8" s="71"/>
      <c r="CC8" s="71"/>
      <c r="CD8" s="72">
        <f>'[1]0. ГИРА'!CD8</f>
        <v>0</v>
      </c>
    </row>
    <row r="9" spans="1:82" ht="14.1" customHeight="1">
      <c r="A9" s="38" t="s">
        <v>30</v>
      </c>
      <c r="B9" s="34">
        <f>[1]Реестр!P2</f>
        <v>89372840305</v>
      </c>
      <c r="C9" s="20" t="s">
        <v>16</v>
      </c>
      <c r="D9" s="21"/>
      <c r="E9" s="21"/>
      <c r="F9" s="22">
        <f>E9-D9</f>
        <v>0</v>
      </c>
      <c r="G9" s="23">
        <f>G10*B4</f>
        <v>22150.989845112323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M10*$B4</f>
        <v>22150.989845112323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30" customHeight="1">
      <c r="C10" s="20" t="s">
        <v>17</v>
      </c>
      <c r="D10" s="24"/>
      <c r="E10" s="24"/>
      <c r="F10" s="24"/>
      <c r="G10" s="25">
        <f>'[1]0. ГИРА'!G10</f>
        <v>179.50559031695562</v>
      </c>
      <c r="H10" s="24"/>
      <c r="I10" s="24"/>
      <c r="J10" s="25">
        <f>'[1]0. ГИРА'!J10</f>
        <v>215.40670838034677</v>
      </c>
      <c r="K10" s="24"/>
      <c r="L10" s="24"/>
      <c r="M10" s="25">
        <f>'[1]0. ГИРА'!M10</f>
        <v>179.50559031695562</v>
      </c>
      <c r="N10" s="24"/>
      <c r="O10" s="24"/>
      <c r="P10" s="25">
        <f>'[1]0. ГИРА'!P10</f>
        <v>0</v>
      </c>
      <c r="Q10" s="24"/>
      <c r="R10" s="24"/>
      <c r="S10" s="25">
        <f>'[1]0. ГИРА'!S10</f>
        <v>0</v>
      </c>
      <c r="T10" s="24"/>
      <c r="U10" s="24"/>
      <c r="V10" s="25">
        <f>'[1]0. ГИРА'!V10</f>
        <v>0</v>
      </c>
      <c r="W10" s="24"/>
      <c r="X10" s="24"/>
      <c r="Y10" s="25">
        <f>'[1]0. ГИРА'!Y10</f>
        <v>0</v>
      </c>
      <c r="Z10" s="24"/>
      <c r="AA10" s="24"/>
      <c r="AB10" s="25">
        <f>'[1]0. ГИРА'!AB10</f>
        <v>0</v>
      </c>
      <c r="AC10" s="24"/>
      <c r="AD10" s="24"/>
      <c r="AE10" s="25">
        <f>'[1]0. ГИРА'!AE10</f>
        <v>0</v>
      </c>
      <c r="AF10" s="24"/>
      <c r="AG10" s="24"/>
      <c r="AH10" s="25">
        <f>'[1]0. ГИРА'!AH10</f>
        <v>0</v>
      </c>
      <c r="AI10" s="24"/>
      <c r="AJ10" s="24"/>
      <c r="AK10" s="25">
        <f>'[1]0. ГИРА'!AK10</f>
        <v>0</v>
      </c>
      <c r="AL10" s="24"/>
      <c r="AM10" s="24"/>
      <c r="AN10" s="25">
        <f>'[1]0. ГИРА'!AN10</f>
        <v>0</v>
      </c>
      <c r="AO10" s="24"/>
      <c r="AP10" s="24"/>
      <c r="AQ10" s="25">
        <f>'[1]0. ГИРА'!AQ10</f>
        <v>0</v>
      </c>
      <c r="AR10" s="24"/>
      <c r="AS10" s="24"/>
      <c r="AT10" s="25">
        <f>'[1]0. ГИРА'!AT10</f>
        <v>0</v>
      </c>
      <c r="AU10" s="24"/>
      <c r="AV10" s="24"/>
      <c r="AW10" s="25">
        <f>'[1]0. ГИРА'!AW10</f>
        <v>0</v>
      </c>
      <c r="AX10" s="24"/>
      <c r="AY10" s="24"/>
      <c r="AZ10" s="25">
        <f>'[1]0. ГИРА'!AZ10</f>
        <v>0</v>
      </c>
      <c r="BA10" s="24"/>
      <c r="BB10" s="24"/>
      <c r="BC10" s="25">
        <f>'[1]0. ГИРА'!BC10</f>
        <v>0</v>
      </c>
      <c r="BD10" s="24"/>
      <c r="BE10" s="24"/>
      <c r="BF10" s="25">
        <f>'[1]0. ГИРА'!BF10</f>
        <v>0</v>
      </c>
      <c r="BG10" s="24"/>
      <c r="BH10" s="24"/>
      <c r="BI10" s="25">
        <f>'[1]0. ГИРА'!BI10</f>
        <v>0</v>
      </c>
      <c r="BJ10" s="24"/>
      <c r="BK10" s="24"/>
      <c r="BL10" s="25">
        <f>'[1]0. ГИРА'!BL10</f>
        <v>0</v>
      </c>
      <c r="BM10" s="24"/>
      <c r="BN10" s="24"/>
      <c r="BO10" s="25">
        <f>'[1]0. ГИРА'!BO10</f>
        <v>0</v>
      </c>
      <c r="BP10" s="24"/>
      <c r="BQ10" s="24"/>
      <c r="BR10" s="25">
        <f>'[1]0. ГИРА'!BR10</f>
        <v>0</v>
      </c>
      <c r="BS10" s="24"/>
      <c r="BT10" s="24"/>
      <c r="BU10" s="25">
        <f>'[1]0. ГИРА'!BU10</f>
        <v>4.3081341676069349E-2</v>
      </c>
      <c r="BV10" s="24"/>
      <c r="BW10" s="24"/>
      <c r="BX10" s="25">
        <f>'[1]0. ГИРА'!BX10</f>
        <v>4.5132834136834561E-2</v>
      </c>
      <c r="BY10" s="24"/>
      <c r="BZ10" s="24"/>
      <c r="CA10" s="25">
        <f>'[1]0. ГИРА'!CA10</f>
        <v>4.7184326597599767E-2</v>
      </c>
      <c r="CB10" s="24"/>
      <c r="CC10" s="24"/>
      <c r="CD10" s="25">
        <f>'[1]0. ГИРА'!CD10</f>
        <v>0</v>
      </c>
    </row>
    <row r="11" spans="1:82">
      <c r="A11" s="67" t="s">
        <v>31</v>
      </c>
      <c r="C11" s="26" t="s">
        <v>18</v>
      </c>
      <c r="D11" s="21"/>
      <c r="E11" s="21"/>
      <c r="F11" s="22">
        <f>E11-D11</f>
        <v>0</v>
      </c>
      <c r="G11" s="23">
        <f>'[1]0. ГИРА'!G12</f>
        <v>174.37685916504262</v>
      </c>
      <c r="H11" s="21"/>
      <c r="I11" s="22">
        <f>H11-G11</f>
        <v>-174.37685916504262</v>
      </c>
      <c r="J11" s="23">
        <f>'[1]0. ГИРА'!J12</f>
        <v>174.37685916504262</v>
      </c>
      <c r="K11" s="21"/>
      <c r="L11" s="22">
        <f>K11-J11</f>
        <v>-174.37685916504262</v>
      </c>
      <c r="M11" s="23">
        <f>'[1]0. ГИРА'!M12</f>
        <v>164.11939686121659</v>
      </c>
      <c r="N11" s="21"/>
      <c r="O11" s="22">
        <f>N11-M11</f>
        <v>-164.11939686121659</v>
      </c>
      <c r="P11" s="23">
        <f>'[1]0. ГИРА'!P12</f>
        <v>0</v>
      </c>
      <c r="Q11" s="21"/>
      <c r="R11" s="22">
        <f>Q11-P11</f>
        <v>0</v>
      </c>
      <c r="S11" s="23">
        <f>'[1]0. ГИРА'!S12</f>
        <v>0</v>
      </c>
      <c r="T11" s="21"/>
      <c r="U11" s="22">
        <f>T11-S11</f>
        <v>0</v>
      </c>
      <c r="V11" s="23">
        <f>'[1]0. ГИРА'!V12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'[1]0. ГИРА'!G12</f>
        <v>174.37685916504262</v>
      </c>
      <c r="H12" s="24"/>
      <c r="I12" s="24"/>
      <c r="J12" s="25">
        <f>'[1]0. ГИРА'!J12</f>
        <v>174.37685916504262</v>
      </c>
      <c r="K12" s="24"/>
      <c r="L12" s="24"/>
      <c r="M12" s="25">
        <f>'[1]0. ГИРА'!M12</f>
        <v>164.11939686121659</v>
      </c>
      <c r="N12" s="24"/>
      <c r="O12" s="24"/>
      <c r="P12" s="25">
        <f>'[1]0. ГИРА'!P12</f>
        <v>0</v>
      </c>
      <c r="Q12" s="24"/>
      <c r="R12" s="24"/>
      <c r="S12" s="25">
        <f>'[1]0. ГИРА'!S12</f>
        <v>0</v>
      </c>
      <c r="T12" s="24"/>
      <c r="U12" s="24"/>
      <c r="V12" s="25">
        <f>'[1]0. ГИРА'!V12</f>
        <v>0</v>
      </c>
      <c r="W12" s="24"/>
      <c r="X12" s="24"/>
      <c r="Y12" s="25">
        <f>'[1]0. ГИРА'!Y12</f>
        <v>0</v>
      </c>
      <c r="Z12" s="24"/>
      <c r="AA12" s="24"/>
      <c r="AB12" s="25">
        <f>'[1]0. ГИРА'!AB12</f>
        <v>0</v>
      </c>
      <c r="AC12" s="24"/>
      <c r="AD12" s="24"/>
      <c r="AE12" s="25">
        <f>'[1]0. ГИРА'!AE12</f>
        <v>0</v>
      </c>
      <c r="AF12" s="24"/>
      <c r="AG12" s="24"/>
      <c r="AH12" s="25">
        <f>'[1]0. ГИРА'!AH12</f>
        <v>0</v>
      </c>
      <c r="AI12" s="24"/>
      <c r="AJ12" s="24"/>
      <c r="AK12" s="25">
        <f>'[1]0. ГИРА'!AK12</f>
        <v>0</v>
      </c>
      <c r="AL12" s="24"/>
      <c r="AM12" s="24"/>
      <c r="AN12" s="25">
        <f>'[1]0. ГИРА'!AN12</f>
        <v>0</v>
      </c>
      <c r="AO12" s="24"/>
      <c r="AP12" s="24"/>
      <c r="AQ12" s="25">
        <f>'[1]0. ГИРА'!AQ12</f>
        <v>0</v>
      </c>
      <c r="AR12" s="24"/>
      <c r="AS12" s="24"/>
      <c r="AT12" s="25">
        <f>'[1]0. ГИРА'!AT12</f>
        <v>0</v>
      </c>
      <c r="AU12" s="24"/>
      <c r="AV12" s="24"/>
      <c r="AW12" s="25">
        <f>'[1]0. ГИРА'!AW12</f>
        <v>0</v>
      </c>
      <c r="AX12" s="24"/>
      <c r="AY12" s="24"/>
      <c r="AZ12" s="25">
        <f>'[1]0. ГИРА'!AZ12</f>
        <v>0</v>
      </c>
      <c r="BA12" s="24"/>
      <c r="BB12" s="24"/>
      <c r="BC12" s="25">
        <f>'[1]0. ГИРА'!BC12</f>
        <v>0</v>
      </c>
      <c r="BD12" s="24"/>
      <c r="BE12" s="24"/>
      <c r="BF12" s="25">
        <f>'[1]0. ГИРА'!BF12</f>
        <v>0</v>
      </c>
      <c r="BG12" s="24"/>
      <c r="BH12" s="24"/>
      <c r="BI12" s="25">
        <f>'[1]0. ГИРА'!BI12</f>
        <v>0</v>
      </c>
      <c r="BJ12" s="24"/>
      <c r="BK12" s="24"/>
      <c r="BL12" s="25">
        <f>'[1]0. ГИРА'!BL12</f>
        <v>0</v>
      </c>
      <c r="BM12" s="24"/>
      <c r="BN12" s="24"/>
      <c r="BO12" s="25">
        <f>'[1]0. ГИРА'!BO12</f>
        <v>0</v>
      </c>
      <c r="BP12" s="24"/>
      <c r="BQ12" s="24"/>
      <c r="BR12" s="25">
        <f>'[1]0. ГИРА'!BR12</f>
        <v>0</v>
      </c>
      <c r="BS12" s="24"/>
      <c r="BT12" s="24"/>
      <c r="BU12" s="25">
        <f>'[1]0. ГИРА'!BU12</f>
        <v>4.3081341676069349E-2</v>
      </c>
      <c r="BV12" s="24"/>
      <c r="BW12" s="24"/>
      <c r="BX12" s="25">
        <f>'[1]0. ГИРА'!BX12</f>
        <v>4.5132834136834561E-2</v>
      </c>
      <c r="BY12" s="24"/>
      <c r="BZ12" s="24"/>
      <c r="CA12" s="25">
        <f>'[1]0. ГИРА'!CA12</f>
        <v>4.7184326597599767E-2</v>
      </c>
      <c r="CB12" s="24"/>
      <c r="CC12" s="24"/>
      <c r="CD12" s="25">
        <f>'[1]0. ГИРА'!CD12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D12"/>
  <sheetViews>
    <sheetView workbookViewId="0">
      <selection activeCell="H8" sqref="H8"/>
    </sheetView>
  </sheetViews>
  <sheetFormatPr defaultColWidth="11.42578125" defaultRowHeight="15"/>
  <cols>
    <col min="13" max="13" width="13" customWidth="1"/>
  </cols>
  <sheetData>
    <row r="1" spans="1:82">
      <c r="A1" s="33" t="s">
        <v>9</v>
      </c>
      <c r="B1" s="33">
        <f>[1]Реестр!D2</f>
        <v>444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[2]Реестр!B2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 ht="30" customHeight="1">
      <c r="A3" s="33" t="s">
        <v>24</v>
      </c>
      <c r="B3" s="34" t="str">
        <f>[2]Реестр!F2</f>
        <v>Гареева А.В.</v>
      </c>
      <c r="C3" s="20" t="s">
        <v>8</v>
      </c>
      <c r="D3" s="21">
        <v>0</v>
      </c>
      <c r="E3" s="21">
        <v>0</v>
      </c>
      <c r="F3" s="22">
        <f>E3-D3</f>
        <v>0</v>
      </c>
      <c r="G3" s="23">
        <f>F3*G4</f>
        <v>0</v>
      </c>
      <c r="H3" s="21">
        <v>245077</v>
      </c>
      <c r="I3" s="22">
        <f>H3-E3</f>
        <v>245077</v>
      </c>
      <c r="J3" s="23">
        <f>I3*J4</f>
        <v>1470462</v>
      </c>
      <c r="K3" s="21" t="s">
        <v>118</v>
      </c>
      <c r="L3" s="22">
        <f>K3-H3</f>
        <v>1028</v>
      </c>
      <c r="M3" s="23">
        <f>L3*M4</f>
        <v>6168</v>
      </c>
      <c r="N3" s="21"/>
      <c r="O3" s="22">
        <f>N3-K3</f>
        <v>-246105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 ht="30" customHeight="1">
      <c r="A4" s="33" t="s">
        <v>7</v>
      </c>
      <c r="B4" s="34">
        <f>[2]Реестр!H2</f>
        <v>123.4</v>
      </c>
      <c r="C4" s="20" t="s">
        <v>10</v>
      </c>
      <c r="D4" s="24"/>
      <c r="E4" s="24"/>
      <c r="F4" s="24"/>
      <c r="G4" s="25">
        <f>'[1]0. ГИРА'!G4</f>
        <v>6</v>
      </c>
      <c r="H4" s="24"/>
      <c r="I4" s="24"/>
      <c r="J4" s="25">
        <f>'[1]0. ГИРА'!J4</f>
        <v>6</v>
      </c>
      <c r="K4" s="24"/>
      <c r="L4" s="24"/>
      <c r="M4" s="25">
        <f>'[1]0. ГИРА'!M4</f>
        <v>6</v>
      </c>
      <c r="N4" s="24"/>
      <c r="O4" s="24"/>
      <c r="P4" s="25">
        <f>'[1]0. ГИРА'!P4</f>
        <v>0</v>
      </c>
      <c r="Q4" s="24"/>
      <c r="R4" s="24"/>
      <c r="S4" s="25" t="e">
        <f>'[1]0. ГИРА'!S4</f>
        <v>#DIV/0!</v>
      </c>
      <c r="T4" s="24"/>
      <c r="U4" s="24"/>
      <c r="V4" s="25" t="e">
        <f>'[1]0. ГИРА'!V4</f>
        <v>#DIV/0!</v>
      </c>
      <c r="W4" s="24"/>
      <c r="X4" s="24"/>
      <c r="Y4" s="25" t="e">
        <f>'[1]0. ГИРА'!Y4</f>
        <v>#DIV/0!</v>
      </c>
      <c r="Z4" s="24"/>
      <c r="AA4" s="24"/>
      <c r="AB4" s="25" t="e">
        <f>'[1]0. ГИРА'!AB4</f>
        <v>#DIV/0!</v>
      </c>
      <c r="AC4" s="24"/>
      <c r="AD4" s="24"/>
      <c r="AE4" s="25" t="e">
        <f>'[1]0. ГИРА'!AE4</f>
        <v>#DIV/0!</v>
      </c>
      <c r="AF4" s="24"/>
      <c r="AG4" s="24"/>
      <c r="AH4" s="25" t="e">
        <f>'[1]0. ГИРА'!AH4</f>
        <v>#DIV/0!</v>
      </c>
      <c r="AI4" s="24"/>
      <c r="AJ4" s="24"/>
      <c r="AK4" s="25" t="e">
        <f>'[1]0. ГИРА'!AK4</f>
        <v>#DIV/0!</v>
      </c>
      <c r="AL4" s="24"/>
      <c r="AM4" s="24"/>
      <c r="AN4" s="25" t="e">
        <f>'[1]0. ГИРА'!AN4</f>
        <v>#DIV/0!</v>
      </c>
      <c r="AO4" s="24"/>
      <c r="AP4" s="24"/>
      <c r="AQ4" s="25" t="e">
        <f>'[1]0. ГИРА'!AQ4</f>
        <v>#DIV/0!</v>
      </c>
      <c r="AR4" s="24"/>
      <c r="AS4" s="24"/>
      <c r="AT4" s="25" t="e">
        <f>'[1]0. ГИРА'!AT4</f>
        <v>#DIV/0!</v>
      </c>
      <c r="AU4" s="24"/>
      <c r="AV4" s="24"/>
      <c r="AW4" s="25" t="e">
        <f>'[1]0. ГИРА'!AW4</f>
        <v>#DIV/0!</v>
      </c>
      <c r="AX4" s="24"/>
      <c r="AY4" s="24"/>
      <c r="AZ4" s="25" t="e">
        <f>'[1]0. ГИРА'!AZ4</f>
        <v>#DIV/0!</v>
      </c>
      <c r="BA4" s="24"/>
      <c r="BB4" s="24"/>
      <c r="BC4" s="25" t="e">
        <f>'[1]0. ГИРА'!BC4</f>
        <v>#DIV/0!</v>
      </c>
      <c r="BD4" s="24"/>
      <c r="BE4" s="24"/>
      <c r="BF4" s="25" t="e">
        <f>'[1]0. ГИРА'!BF4</f>
        <v>#DIV/0!</v>
      </c>
      <c r="BG4" s="24"/>
      <c r="BH4" s="24"/>
      <c r="BI4" s="25" t="e">
        <f>'[1]0. ГИРА'!BI4</f>
        <v>#DIV/0!</v>
      </c>
      <c r="BJ4" s="24"/>
      <c r="BK4" s="24"/>
      <c r="BL4" s="25" t="e">
        <f>'[1]0. ГИРА'!BL4</f>
        <v>#DIV/0!</v>
      </c>
      <c r="BM4" s="24"/>
      <c r="BN4" s="24"/>
      <c r="BO4" s="25" t="e">
        <f>'[1]0. ГИРА'!BO4</f>
        <v>#DIV/0!</v>
      </c>
      <c r="BP4" s="24"/>
      <c r="BQ4" s="24"/>
      <c r="BR4" s="25" t="e">
        <f>'[1]0. ГИРА'!BR4</f>
        <v>#DIV/0!</v>
      </c>
      <c r="BS4" s="24"/>
      <c r="BT4" s="24"/>
      <c r="BU4" s="25" t="e">
        <f>'[1]0. ГИРА'!BU4</f>
        <v>#DIV/0!</v>
      </c>
      <c r="BV4" s="24"/>
      <c r="BW4" s="24"/>
      <c r="BX4" s="25" t="e">
        <f>'[1]0. ГИРА'!BX4</f>
        <v>#DIV/0!</v>
      </c>
      <c r="BY4" s="24"/>
      <c r="BZ4" s="24"/>
      <c r="CA4" s="25" t="e">
        <f>'[1]0. ГИРА'!CA4</f>
        <v>#DIV/0!</v>
      </c>
      <c r="CB4" s="24"/>
      <c r="CC4" s="24"/>
      <c r="CD4" s="25">
        <f>'[1]0. ГИРА'!CD4</f>
        <v>0</v>
      </c>
    </row>
    <row r="5" spans="1:82" ht="45" customHeight="1">
      <c r="C5" s="30" t="s">
        <v>12</v>
      </c>
      <c r="D5" s="21">
        <v>0</v>
      </c>
      <c r="E5" s="21">
        <v>0</v>
      </c>
      <c r="F5" s="22">
        <f>E5-D5</f>
        <v>0</v>
      </c>
      <c r="G5" s="23"/>
      <c r="H5" s="21">
        <v>32477</v>
      </c>
      <c r="I5" s="22">
        <f>H5-E5</f>
        <v>32477</v>
      </c>
      <c r="J5" s="23">
        <f>I5*J6</f>
        <v>1948620</v>
      </c>
      <c r="K5" s="21" t="s">
        <v>119</v>
      </c>
      <c r="L5" s="22">
        <f>K5-H5</f>
        <v>3</v>
      </c>
      <c r="M5" s="23">
        <f>L5*M6</f>
        <v>180</v>
      </c>
      <c r="N5" s="21"/>
      <c r="O5" s="22">
        <f>N5-K5</f>
        <v>-32480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45" customHeight="1">
      <c r="A6" s="37" t="s">
        <v>26</v>
      </c>
      <c r="B6" s="34" t="str">
        <f>[1]Реестр!M2</f>
        <v xml:space="preserve">Альфия    </v>
      </c>
      <c r="C6" s="30" t="s">
        <v>13</v>
      </c>
      <c r="D6" s="24"/>
      <c r="E6" s="24"/>
      <c r="F6" s="24"/>
      <c r="G6" s="25">
        <f>'[1]0. ГИРА'!G6</f>
        <v>60</v>
      </c>
      <c r="H6" s="24"/>
      <c r="I6" s="24"/>
      <c r="J6" s="25">
        <f>'[1]0. ГИРА'!J6</f>
        <v>60</v>
      </c>
      <c r="K6" s="24"/>
      <c r="L6" s="24"/>
      <c r="M6" s="25">
        <f>'[1]0. ГИРА'!M6</f>
        <v>60</v>
      </c>
      <c r="N6" s="24"/>
      <c r="O6" s="24"/>
      <c r="P6" s="25">
        <f>'[1]0. ГИРА'!P6</f>
        <v>0</v>
      </c>
      <c r="Q6" s="24"/>
      <c r="R6" s="24"/>
      <c r="S6" s="25" t="e">
        <f>'[1]0. ГИРА'!S6</f>
        <v>#DIV/0!</v>
      </c>
      <c r="T6" s="24"/>
      <c r="U6" s="24"/>
      <c r="V6" s="25" t="e">
        <f>'[1]0. ГИРА'!V6</f>
        <v>#DIV/0!</v>
      </c>
      <c r="W6" s="24"/>
      <c r="X6" s="24"/>
      <c r="Y6" s="25" t="e">
        <f>'[1]0. ГИРА'!Y6</f>
        <v>#DIV/0!</v>
      </c>
      <c r="Z6" s="24"/>
      <c r="AA6" s="24"/>
      <c r="AB6" s="25" t="e">
        <f>'[1]0. ГИРА'!AB6</f>
        <v>#DIV/0!</v>
      </c>
      <c r="AC6" s="24"/>
      <c r="AD6" s="24"/>
      <c r="AE6" s="25" t="e">
        <f>'[1]0. ГИРА'!AE6</f>
        <v>#DIV/0!</v>
      </c>
      <c r="AF6" s="24"/>
      <c r="AG6" s="24"/>
      <c r="AH6" s="25" t="e">
        <f>'[1]0. ГИРА'!AH6</f>
        <v>#DIV/0!</v>
      </c>
      <c r="AI6" s="24"/>
      <c r="AJ6" s="24"/>
      <c r="AK6" s="25" t="e">
        <f>'[1]0. ГИРА'!AK6</f>
        <v>#DIV/0!</v>
      </c>
      <c r="AL6" s="24"/>
      <c r="AM6" s="24"/>
      <c r="AN6" s="25" t="e">
        <f>'[1]0. ГИРА'!AN6</f>
        <v>#DIV/0!</v>
      </c>
      <c r="AO6" s="24"/>
      <c r="AP6" s="24"/>
      <c r="AQ6" s="25" t="e">
        <f>'[1]0. ГИРА'!AQ6</f>
        <v>#DIV/0!</v>
      </c>
      <c r="AR6" s="24"/>
      <c r="AS6" s="24"/>
      <c r="AT6" s="25" t="e">
        <f>'[1]0. ГИРА'!AT6</f>
        <v>#DIV/0!</v>
      </c>
      <c r="AU6" s="24"/>
      <c r="AV6" s="24"/>
      <c r="AW6" s="25" t="e">
        <f>'[1]0. ГИРА'!AW6</f>
        <v>#DIV/0!</v>
      </c>
      <c r="AX6" s="24"/>
      <c r="AY6" s="24"/>
      <c r="AZ6" s="25" t="e">
        <f>'[1]0. ГИРА'!AZ6</f>
        <v>#DIV/0!</v>
      </c>
      <c r="BA6" s="24"/>
      <c r="BB6" s="24"/>
      <c r="BC6" s="25" t="e">
        <f>'[1]0. ГИРА'!BC6</f>
        <v>#DIV/0!</v>
      </c>
      <c r="BD6" s="24"/>
      <c r="BE6" s="24"/>
      <c r="BF6" s="25" t="e">
        <f>'[1]0. ГИРА'!BF6</f>
        <v>#DIV/0!</v>
      </c>
      <c r="BG6" s="24"/>
      <c r="BH6" s="24"/>
      <c r="BI6" s="25" t="e">
        <f>'[1]0. ГИРА'!BI6</f>
        <v>#DIV/0!</v>
      </c>
      <c r="BJ6" s="24"/>
      <c r="BK6" s="24"/>
      <c r="BL6" s="25" t="e">
        <f>'[1]0. ГИРА'!BL6</f>
        <v>#DIV/0!</v>
      </c>
      <c r="BM6" s="24"/>
      <c r="BN6" s="24"/>
      <c r="BO6" s="25" t="e">
        <f>'[1]0. ГИРА'!BO6</f>
        <v>#DIV/0!</v>
      </c>
      <c r="BP6" s="24"/>
      <c r="BQ6" s="24"/>
      <c r="BR6" s="25" t="e">
        <f>'[1]0. ГИРА'!BR6</f>
        <v>#DIV/0!</v>
      </c>
      <c r="BS6" s="24"/>
      <c r="BT6" s="24"/>
      <c r="BU6" s="25" t="e">
        <f>'[1]0. ГИРА'!BU6</f>
        <v>#DIV/0!</v>
      </c>
      <c r="BV6" s="24"/>
      <c r="BW6" s="24"/>
      <c r="BX6" s="25" t="e">
        <f>'[1]0. ГИРА'!BX6</f>
        <v>#DIV/0!</v>
      </c>
      <c r="BY6" s="24"/>
      <c r="BZ6" s="24"/>
      <c r="CA6" s="25" t="e">
        <f>'[1]0. ГИРА'!CA6</f>
        <v>#DIV/0!</v>
      </c>
      <c r="CB6" s="24"/>
      <c r="CC6" s="24"/>
      <c r="CD6" s="25">
        <f>'[1]0. ГИРА'!CD6</f>
        <v>0</v>
      </c>
    </row>
    <row r="7" spans="1:82" ht="45" customHeight="1">
      <c r="A7" s="38" t="s">
        <v>27</v>
      </c>
      <c r="B7" s="33">
        <f>[1]Реестр!N2</f>
        <v>89503228511</v>
      </c>
      <c r="C7" s="30" t="s">
        <v>14</v>
      </c>
      <c r="D7" s="68">
        <v>0</v>
      </c>
      <c r="E7" s="68">
        <v>0</v>
      </c>
      <c r="F7" s="69">
        <f>E7-D7</f>
        <v>0</v>
      </c>
      <c r="G7" s="70">
        <f>G8*F7</f>
        <v>0</v>
      </c>
      <c r="H7" s="68">
        <v>17877</v>
      </c>
      <c r="I7" s="22">
        <f>H7-E7</f>
        <v>17877</v>
      </c>
      <c r="J7" s="70">
        <f>J8*I7</f>
        <v>5363100</v>
      </c>
      <c r="K7" s="68" t="s">
        <v>120</v>
      </c>
      <c r="L7" s="22">
        <f>K7-H7</f>
        <v>54</v>
      </c>
      <c r="M7" s="70">
        <f>M8*L7</f>
        <v>16200</v>
      </c>
      <c r="N7" s="68"/>
      <c r="O7" s="22">
        <f>N7-K7</f>
        <v>-17931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45" customHeight="1">
      <c r="A8" s="37" t="s">
        <v>29</v>
      </c>
      <c r="B8" s="33" t="str">
        <f>[1]Реестр!O2</f>
        <v>Карина</v>
      </c>
      <c r="C8" s="30" t="s">
        <v>15</v>
      </c>
      <c r="D8" s="71"/>
      <c r="E8" s="71"/>
      <c r="F8" s="71"/>
      <c r="G8" s="72">
        <f>'[1]0. ГИРА'!G8</f>
        <v>300</v>
      </c>
      <c r="H8" s="71"/>
      <c r="I8" s="71"/>
      <c r="J8" s="72">
        <f>'[1]0. ГИРА'!J8</f>
        <v>300</v>
      </c>
      <c r="K8" s="71"/>
      <c r="L8" s="71"/>
      <c r="M8" s="72">
        <f>'[1]0. ГИРА'!M8</f>
        <v>300</v>
      </c>
      <c r="N8" s="71"/>
      <c r="O8" s="71"/>
      <c r="P8" s="72">
        <f>'[1]0. ГИРА'!P8</f>
        <v>0</v>
      </c>
      <c r="Q8" s="71"/>
      <c r="R8" s="71"/>
      <c r="S8" s="72" t="e">
        <f>'[1]0. ГИРА'!S8</f>
        <v>#DIV/0!</v>
      </c>
      <c r="T8" s="71"/>
      <c r="U8" s="71"/>
      <c r="V8" s="72" t="e">
        <f>'[1]0. ГИРА'!V8</f>
        <v>#DIV/0!</v>
      </c>
      <c r="W8" s="71"/>
      <c r="X8" s="71"/>
      <c r="Y8" s="72" t="e">
        <f>'[1]0. ГИРА'!Y8</f>
        <v>#DIV/0!</v>
      </c>
      <c r="Z8" s="71"/>
      <c r="AA8" s="71"/>
      <c r="AB8" s="72" t="e">
        <f>'[1]0. ГИРА'!AB8</f>
        <v>#DIV/0!</v>
      </c>
      <c r="AC8" s="71"/>
      <c r="AD8" s="71"/>
      <c r="AE8" s="72" t="e">
        <f>'[1]0. ГИРА'!AE8</f>
        <v>#DIV/0!</v>
      </c>
      <c r="AF8" s="71"/>
      <c r="AG8" s="71"/>
      <c r="AH8" s="72" t="e">
        <f>'[1]0. ГИРА'!AH8</f>
        <v>#DIV/0!</v>
      </c>
      <c r="AI8" s="71"/>
      <c r="AJ8" s="71"/>
      <c r="AK8" s="72" t="e">
        <f>'[1]0. ГИРА'!AK8</f>
        <v>#DIV/0!</v>
      </c>
      <c r="AL8" s="71"/>
      <c r="AM8" s="71"/>
      <c r="AN8" s="72" t="e">
        <f>'[1]0. ГИРА'!AN8</f>
        <v>#DIV/0!</v>
      </c>
      <c r="AO8" s="71"/>
      <c r="AP8" s="71"/>
      <c r="AQ8" s="72" t="e">
        <f>'[1]0. ГИРА'!AQ8</f>
        <v>#DIV/0!</v>
      </c>
      <c r="AR8" s="71"/>
      <c r="AS8" s="71"/>
      <c r="AT8" s="72" t="e">
        <f>'[1]0. ГИРА'!AT8</f>
        <v>#DIV/0!</v>
      </c>
      <c r="AU8" s="71"/>
      <c r="AV8" s="71"/>
      <c r="AW8" s="72" t="e">
        <f>'[1]0. ГИРА'!AW8</f>
        <v>#DIV/0!</v>
      </c>
      <c r="AX8" s="71"/>
      <c r="AY8" s="71"/>
      <c r="AZ8" s="72" t="e">
        <f>'[1]0. ГИРА'!AZ8</f>
        <v>#DIV/0!</v>
      </c>
      <c r="BA8" s="71"/>
      <c r="BB8" s="71"/>
      <c r="BC8" s="72" t="e">
        <f>'[1]0. ГИРА'!BC8</f>
        <v>#DIV/0!</v>
      </c>
      <c r="BD8" s="71"/>
      <c r="BE8" s="71"/>
      <c r="BF8" s="72" t="e">
        <f>'[1]0. ГИРА'!BF8</f>
        <v>#DIV/0!</v>
      </c>
      <c r="BG8" s="71"/>
      <c r="BH8" s="71"/>
      <c r="BI8" s="72" t="e">
        <f>'[1]0. ГИРА'!BI8</f>
        <v>#DIV/0!</v>
      </c>
      <c r="BJ8" s="71"/>
      <c r="BK8" s="71"/>
      <c r="BL8" s="72" t="e">
        <f>'[1]0. ГИРА'!BL8</f>
        <v>#DIV/0!</v>
      </c>
      <c r="BM8" s="71"/>
      <c r="BN8" s="71"/>
      <c r="BO8" s="72" t="e">
        <f>'[1]0. ГИРА'!BO8</f>
        <v>#DIV/0!</v>
      </c>
      <c r="BP8" s="71"/>
      <c r="BQ8" s="71"/>
      <c r="BR8" s="72" t="e">
        <f>'[1]0. ГИРА'!BR8</f>
        <v>#DIV/0!</v>
      </c>
      <c r="BS8" s="71"/>
      <c r="BT8" s="71"/>
      <c r="BU8" s="72" t="e">
        <f>'[1]0. ГИРА'!BU8</f>
        <v>#DIV/0!</v>
      </c>
      <c r="BV8" s="71"/>
      <c r="BW8" s="71"/>
      <c r="BX8" s="72" t="e">
        <f>'[1]0. ГИРА'!BX8</f>
        <v>#DIV/0!</v>
      </c>
      <c r="BY8" s="71"/>
      <c r="BZ8" s="71"/>
      <c r="CA8" s="72" t="e">
        <f>'[1]0. ГИРА'!CA8</f>
        <v>#DIV/0!</v>
      </c>
      <c r="CB8" s="71"/>
      <c r="CC8" s="71"/>
      <c r="CD8" s="72">
        <f>'[1]0. ГИРА'!CD8</f>
        <v>0</v>
      </c>
    </row>
    <row r="9" spans="1:82" ht="14.1" customHeight="1">
      <c r="A9" s="38" t="s">
        <v>30</v>
      </c>
      <c r="B9" s="34">
        <f>[1]Реестр!P2</f>
        <v>89372840305</v>
      </c>
      <c r="C9" s="20" t="s">
        <v>16</v>
      </c>
      <c r="D9" s="21"/>
      <c r="E9" s="21"/>
      <c r="F9" s="22">
        <f>E9-D9</f>
        <v>0</v>
      </c>
      <c r="G9" s="23">
        <f>G10*B4</f>
        <v>22150.989845112323</v>
      </c>
      <c r="H9" s="21"/>
      <c r="I9" s="22">
        <f>H9-E9</f>
        <v>0</v>
      </c>
      <c r="J9" s="23">
        <f>J10*E3</f>
        <v>0</v>
      </c>
      <c r="K9" s="21">
        <v>1234</v>
      </c>
      <c r="L9" s="22">
        <f>K9-H9</f>
        <v>1234</v>
      </c>
      <c r="M9" s="23">
        <v>12</v>
      </c>
      <c r="N9" s="21"/>
      <c r="O9" s="22">
        <f>N9-K9</f>
        <v>-1234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30" customHeight="1">
      <c r="C10" s="20" t="s">
        <v>17</v>
      </c>
      <c r="D10" s="24"/>
      <c r="E10" s="24"/>
      <c r="F10" s="24"/>
      <c r="G10" s="25">
        <f>'[1]0. ГИРА'!G10</f>
        <v>179.50559031695562</v>
      </c>
      <c r="H10" s="24"/>
      <c r="I10" s="24"/>
      <c r="J10" s="25">
        <f>'[1]0. ГИРА'!J10</f>
        <v>215.40670838034677</v>
      </c>
      <c r="K10" s="24"/>
      <c r="L10" s="24"/>
      <c r="M10" s="25">
        <f>'[1]0. ГИРА'!M10</f>
        <v>179.50559031695562</v>
      </c>
      <c r="N10" s="24"/>
      <c r="O10" s="24"/>
      <c r="P10" s="25">
        <f>'[1]0. ГИРА'!P10</f>
        <v>0</v>
      </c>
      <c r="Q10" s="24"/>
      <c r="R10" s="24"/>
      <c r="S10" s="25">
        <f>'[1]0. ГИРА'!S10</f>
        <v>0</v>
      </c>
      <c r="T10" s="24"/>
      <c r="U10" s="24"/>
      <c r="V10" s="25">
        <f>'[1]0. ГИРА'!V10</f>
        <v>0</v>
      </c>
      <c r="W10" s="24"/>
      <c r="X10" s="24"/>
      <c r="Y10" s="25">
        <f>'[1]0. ГИРА'!Y10</f>
        <v>0</v>
      </c>
      <c r="Z10" s="24"/>
      <c r="AA10" s="24"/>
      <c r="AB10" s="25">
        <f>'[1]0. ГИРА'!AB10</f>
        <v>0</v>
      </c>
      <c r="AC10" s="24"/>
      <c r="AD10" s="24"/>
      <c r="AE10" s="25">
        <f>'[1]0. ГИРА'!AE10</f>
        <v>0</v>
      </c>
      <c r="AF10" s="24"/>
      <c r="AG10" s="24"/>
      <c r="AH10" s="25">
        <f>'[1]0. ГИРА'!AH10</f>
        <v>0</v>
      </c>
      <c r="AI10" s="24"/>
      <c r="AJ10" s="24"/>
      <c r="AK10" s="25">
        <f>'[1]0. ГИРА'!AK10</f>
        <v>0</v>
      </c>
      <c r="AL10" s="24"/>
      <c r="AM10" s="24"/>
      <c r="AN10" s="25">
        <f>'[1]0. ГИРА'!AN10</f>
        <v>0</v>
      </c>
      <c r="AO10" s="24"/>
      <c r="AP10" s="24"/>
      <c r="AQ10" s="25">
        <f>'[1]0. ГИРА'!AQ10</f>
        <v>0</v>
      </c>
      <c r="AR10" s="24"/>
      <c r="AS10" s="24"/>
      <c r="AT10" s="25">
        <f>'[1]0. ГИРА'!AT10</f>
        <v>0</v>
      </c>
      <c r="AU10" s="24"/>
      <c r="AV10" s="24"/>
      <c r="AW10" s="25">
        <f>'[1]0. ГИРА'!AW10</f>
        <v>0</v>
      </c>
      <c r="AX10" s="24"/>
      <c r="AY10" s="24"/>
      <c r="AZ10" s="25">
        <f>'[1]0. ГИРА'!AZ10</f>
        <v>0</v>
      </c>
      <c r="BA10" s="24"/>
      <c r="BB10" s="24"/>
      <c r="BC10" s="25">
        <f>'[1]0. ГИРА'!BC10</f>
        <v>0</v>
      </c>
      <c r="BD10" s="24"/>
      <c r="BE10" s="24"/>
      <c r="BF10" s="25">
        <f>'[1]0. ГИРА'!BF10</f>
        <v>0</v>
      </c>
      <c r="BG10" s="24"/>
      <c r="BH10" s="24"/>
      <c r="BI10" s="25">
        <f>'[1]0. ГИРА'!BI10</f>
        <v>0</v>
      </c>
      <c r="BJ10" s="24"/>
      <c r="BK10" s="24"/>
      <c r="BL10" s="25">
        <f>'[1]0. ГИРА'!BL10</f>
        <v>0</v>
      </c>
      <c r="BM10" s="24"/>
      <c r="BN10" s="24"/>
      <c r="BO10" s="25">
        <f>'[1]0. ГИРА'!BO10</f>
        <v>0</v>
      </c>
      <c r="BP10" s="24"/>
      <c r="BQ10" s="24"/>
      <c r="BR10" s="25">
        <f>'[1]0. ГИРА'!BR10</f>
        <v>0</v>
      </c>
      <c r="BS10" s="24"/>
      <c r="BT10" s="24"/>
      <c r="BU10" s="25">
        <f>'[1]0. ГИРА'!BU10</f>
        <v>4.3081341676069349E-2</v>
      </c>
      <c r="BV10" s="24"/>
      <c r="BW10" s="24"/>
      <c r="BX10" s="25">
        <f>'[1]0. ГИРА'!BX10</f>
        <v>4.5132834136834561E-2</v>
      </c>
      <c r="BY10" s="24"/>
      <c r="BZ10" s="24"/>
      <c r="CA10" s="25">
        <f>'[1]0. ГИРА'!CA10</f>
        <v>4.7184326597599767E-2</v>
      </c>
      <c r="CB10" s="24"/>
      <c r="CC10" s="24"/>
      <c r="CD10" s="25">
        <f>'[1]0. ГИРА'!CD10</f>
        <v>0</v>
      </c>
    </row>
    <row r="11" spans="1:82">
      <c r="A11" s="67" t="s">
        <v>31</v>
      </c>
      <c r="B11" t="s">
        <v>121</v>
      </c>
      <c r="C11" s="26" t="s">
        <v>18</v>
      </c>
      <c r="D11" s="21"/>
      <c r="E11" s="21"/>
      <c r="F11" s="22">
        <f>E11-D11</f>
        <v>0</v>
      </c>
      <c r="G11" s="23">
        <f>'[1]0. ГИРА'!G12</f>
        <v>174.37685916504262</v>
      </c>
      <c r="H11" s="21"/>
      <c r="I11" s="22">
        <f>H11-G11</f>
        <v>-174.37685916504262</v>
      </c>
      <c r="J11" s="23">
        <f>'[1]0. ГИРА'!J12</f>
        <v>174.37685916504262</v>
      </c>
      <c r="K11" s="21"/>
      <c r="L11" s="22">
        <f>K11-J11</f>
        <v>-174.37685916504262</v>
      </c>
      <c r="M11" s="23">
        <f>'[1]0. ГИРА'!M12</f>
        <v>164.11939686121659</v>
      </c>
      <c r="N11" s="21"/>
      <c r="O11" s="22">
        <f>N11-M11</f>
        <v>-164.11939686121659</v>
      </c>
      <c r="P11" s="23">
        <f>'[1]0. ГИРА'!P12</f>
        <v>0</v>
      </c>
      <c r="Q11" s="21"/>
      <c r="R11" s="22">
        <f>Q11-P11</f>
        <v>0</v>
      </c>
      <c r="S11" s="23">
        <f>'[1]0. ГИРА'!S12</f>
        <v>0</v>
      </c>
      <c r="T11" s="21"/>
      <c r="U11" s="22">
        <f>T11-S11</f>
        <v>0</v>
      </c>
      <c r="V11" s="23">
        <f>'[1]0. ГИРА'!V12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'[1]0. ГИРА'!G12</f>
        <v>174.37685916504262</v>
      </c>
      <c r="H12" s="24"/>
      <c r="I12" s="24"/>
      <c r="J12" s="25">
        <f>'[1]0. ГИРА'!J12</f>
        <v>174.37685916504262</v>
      </c>
      <c r="K12" s="24"/>
      <c r="L12" s="24"/>
      <c r="M12" s="25">
        <f>'[1]0. ГИРА'!M12</f>
        <v>164.11939686121659</v>
      </c>
      <c r="N12" s="24"/>
      <c r="O12" s="24"/>
      <c r="P12" s="25">
        <f>'[1]0. ГИРА'!P12</f>
        <v>0</v>
      </c>
      <c r="Q12" s="24"/>
      <c r="R12" s="24"/>
      <c r="S12" s="25">
        <f>'[1]0. ГИРА'!S12</f>
        <v>0</v>
      </c>
      <c r="T12" s="24"/>
      <c r="U12" s="24"/>
      <c r="V12" s="25">
        <f>'[1]0. ГИРА'!V12</f>
        <v>0</v>
      </c>
      <c r="W12" s="24"/>
      <c r="X12" s="24"/>
      <c r="Y12" s="25">
        <f>'[1]0. ГИРА'!Y12</f>
        <v>0</v>
      </c>
      <c r="Z12" s="24"/>
      <c r="AA12" s="24"/>
      <c r="AB12" s="25">
        <f>'[1]0. ГИРА'!AB12</f>
        <v>0</v>
      </c>
      <c r="AC12" s="24"/>
      <c r="AD12" s="24"/>
      <c r="AE12" s="25">
        <f>'[1]0. ГИРА'!AE12</f>
        <v>0</v>
      </c>
      <c r="AF12" s="24"/>
      <c r="AG12" s="24"/>
      <c r="AH12" s="25">
        <f>'[1]0. ГИРА'!AH12</f>
        <v>0</v>
      </c>
      <c r="AI12" s="24"/>
      <c r="AJ12" s="24"/>
      <c r="AK12" s="25">
        <f>'[1]0. ГИРА'!AK12</f>
        <v>0</v>
      </c>
      <c r="AL12" s="24"/>
      <c r="AM12" s="24"/>
      <c r="AN12" s="25">
        <f>'[1]0. ГИРА'!AN12</f>
        <v>0</v>
      </c>
      <c r="AO12" s="24"/>
      <c r="AP12" s="24"/>
      <c r="AQ12" s="25">
        <f>'[1]0. ГИРА'!AQ12</f>
        <v>0</v>
      </c>
      <c r="AR12" s="24"/>
      <c r="AS12" s="24"/>
      <c r="AT12" s="25">
        <f>'[1]0. ГИРА'!AT12</f>
        <v>0</v>
      </c>
      <c r="AU12" s="24"/>
      <c r="AV12" s="24"/>
      <c r="AW12" s="25">
        <f>'[1]0. ГИРА'!AW12</f>
        <v>0</v>
      </c>
      <c r="AX12" s="24"/>
      <c r="AY12" s="24"/>
      <c r="AZ12" s="25">
        <f>'[1]0. ГИРА'!AZ12</f>
        <v>0</v>
      </c>
      <c r="BA12" s="24"/>
      <c r="BB12" s="24"/>
      <c r="BC12" s="25">
        <f>'[1]0. ГИРА'!BC12</f>
        <v>0</v>
      </c>
      <c r="BD12" s="24"/>
      <c r="BE12" s="24"/>
      <c r="BF12" s="25">
        <f>'[1]0. ГИРА'!BF12</f>
        <v>0</v>
      </c>
      <c r="BG12" s="24"/>
      <c r="BH12" s="24"/>
      <c r="BI12" s="25">
        <f>'[1]0. ГИРА'!BI12</f>
        <v>0</v>
      </c>
      <c r="BJ12" s="24"/>
      <c r="BK12" s="24"/>
      <c r="BL12" s="25">
        <f>'[1]0. ГИРА'!BL12</f>
        <v>0</v>
      </c>
      <c r="BM12" s="24"/>
      <c r="BN12" s="24"/>
      <c r="BO12" s="25">
        <f>'[1]0. ГИРА'!BO12</f>
        <v>0</v>
      </c>
      <c r="BP12" s="24"/>
      <c r="BQ12" s="24"/>
      <c r="BR12" s="25">
        <f>'[1]0. ГИРА'!BR12</f>
        <v>0</v>
      </c>
      <c r="BS12" s="24"/>
      <c r="BT12" s="24"/>
      <c r="BU12" s="25">
        <f>'[1]0. ГИРА'!BU12</f>
        <v>4.3081341676069349E-2</v>
      </c>
      <c r="BV12" s="24"/>
      <c r="BW12" s="24"/>
      <c r="BX12" s="25">
        <f>'[1]0. ГИРА'!BX12</f>
        <v>4.5132834136834561E-2</v>
      </c>
      <c r="BY12" s="24"/>
      <c r="BZ12" s="24"/>
      <c r="CA12" s="25">
        <f>'[1]0. ГИРА'!CA12</f>
        <v>4.7184326597599767E-2</v>
      </c>
      <c r="CB12" s="24"/>
      <c r="CC12" s="24"/>
      <c r="CD12" s="25">
        <f>'[1]0. ГИРА'!CD12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D12"/>
  <sheetViews>
    <sheetView workbookViewId="0"/>
  </sheetViews>
  <sheetFormatPr defaultColWidth="11.42578125" defaultRowHeight="15"/>
  <cols>
    <col min="13" max="13" width="13" customWidth="1"/>
  </cols>
  <sheetData>
    <row r="1" spans="1:82">
      <c r="A1" s="33" t="s">
        <v>9</v>
      </c>
      <c r="B1" s="33">
        <f>[1]Реестр!D2</f>
        <v>444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[2]Реестр!B2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 ht="30" customHeight="1">
      <c r="A3" s="33" t="s">
        <v>24</v>
      </c>
      <c r="B3" s="34" t="str">
        <f>[2]Реестр!F2</f>
        <v>Гареева А.В.</v>
      </c>
      <c r="C3" s="20" t="s">
        <v>8</v>
      </c>
      <c r="D3" s="21">
        <v>0</v>
      </c>
      <c r="E3" s="21">
        <v>0</v>
      </c>
      <c r="F3" s="22">
        <f>E3-D3</f>
        <v>0</v>
      </c>
      <c r="G3" s="23">
        <f>F3*G4</f>
        <v>0</v>
      </c>
      <c r="H3" s="21">
        <v>0</v>
      </c>
      <c r="I3" s="22">
        <f>H3-E3</f>
        <v>0</v>
      </c>
      <c r="J3" s="23">
        <f>I3*J4</f>
        <v>0</v>
      </c>
      <c r="K3" s="21">
        <v>0</v>
      </c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 ht="30" customHeight="1">
      <c r="A4" s="33" t="s">
        <v>7</v>
      </c>
      <c r="B4" s="34">
        <f>[2]Реестр!H2</f>
        <v>123.4</v>
      </c>
      <c r="C4" s="20" t="s">
        <v>10</v>
      </c>
      <c r="D4" s="24"/>
      <c r="E4" s="24"/>
      <c r="F4" s="24"/>
      <c r="G4" s="25">
        <f>'[1]0. ГИРА'!G4</f>
        <v>6</v>
      </c>
      <c r="H4" s="24"/>
      <c r="I4" s="24"/>
      <c r="J4" s="25">
        <f>'[1]0. ГИРА'!J4</f>
        <v>6</v>
      </c>
      <c r="K4" s="24"/>
      <c r="L4" s="24"/>
      <c r="M4" s="25">
        <f>'[1]0. ГИРА'!M4</f>
        <v>6</v>
      </c>
      <c r="N4" s="24"/>
      <c r="O4" s="24"/>
      <c r="P4" s="25">
        <f>'[1]0. ГИРА'!P4</f>
        <v>0</v>
      </c>
      <c r="Q4" s="24"/>
      <c r="R4" s="24"/>
      <c r="S4" s="25" t="e">
        <f>'[1]0. ГИРА'!S4</f>
        <v>#DIV/0!</v>
      </c>
      <c r="T4" s="24"/>
      <c r="U4" s="24"/>
      <c r="V4" s="25" t="e">
        <f>'[1]0. ГИРА'!V4</f>
        <v>#DIV/0!</v>
      </c>
      <c r="W4" s="24"/>
      <c r="X4" s="24"/>
      <c r="Y4" s="25" t="e">
        <f>'[1]0. ГИРА'!Y4</f>
        <v>#DIV/0!</v>
      </c>
      <c r="Z4" s="24"/>
      <c r="AA4" s="24"/>
      <c r="AB4" s="25" t="e">
        <f>'[1]0. ГИРА'!AB4</f>
        <v>#DIV/0!</v>
      </c>
      <c r="AC4" s="24"/>
      <c r="AD4" s="24"/>
      <c r="AE4" s="25" t="e">
        <f>'[1]0. ГИРА'!AE4</f>
        <v>#DIV/0!</v>
      </c>
      <c r="AF4" s="24"/>
      <c r="AG4" s="24"/>
      <c r="AH4" s="25" t="e">
        <f>'[1]0. ГИРА'!AH4</f>
        <v>#DIV/0!</v>
      </c>
      <c r="AI4" s="24"/>
      <c r="AJ4" s="24"/>
      <c r="AK4" s="25" t="e">
        <f>'[1]0. ГИРА'!AK4</f>
        <v>#DIV/0!</v>
      </c>
      <c r="AL4" s="24"/>
      <c r="AM4" s="24"/>
      <c r="AN4" s="25" t="e">
        <f>'[1]0. ГИРА'!AN4</f>
        <v>#DIV/0!</v>
      </c>
      <c r="AO4" s="24"/>
      <c r="AP4" s="24"/>
      <c r="AQ4" s="25" t="e">
        <f>'[1]0. ГИРА'!AQ4</f>
        <v>#DIV/0!</v>
      </c>
      <c r="AR4" s="24"/>
      <c r="AS4" s="24"/>
      <c r="AT4" s="25" t="e">
        <f>'[1]0. ГИРА'!AT4</f>
        <v>#DIV/0!</v>
      </c>
      <c r="AU4" s="24"/>
      <c r="AV4" s="24"/>
      <c r="AW4" s="25" t="e">
        <f>'[1]0. ГИРА'!AW4</f>
        <v>#DIV/0!</v>
      </c>
      <c r="AX4" s="24"/>
      <c r="AY4" s="24"/>
      <c r="AZ4" s="25" t="e">
        <f>'[1]0. ГИРА'!AZ4</f>
        <v>#DIV/0!</v>
      </c>
      <c r="BA4" s="24"/>
      <c r="BB4" s="24"/>
      <c r="BC4" s="25" t="e">
        <f>'[1]0. ГИРА'!BC4</f>
        <v>#DIV/0!</v>
      </c>
      <c r="BD4" s="24"/>
      <c r="BE4" s="24"/>
      <c r="BF4" s="25" t="e">
        <f>'[1]0. ГИРА'!BF4</f>
        <v>#DIV/0!</v>
      </c>
      <c r="BG4" s="24"/>
      <c r="BH4" s="24"/>
      <c r="BI4" s="25" t="e">
        <f>'[1]0. ГИРА'!BI4</f>
        <v>#DIV/0!</v>
      </c>
      <c r="BJ4" s="24"/>
      <c r="BK4" s="24"/>
      <c r="BL4" s="25" t="e">
        <f>'[1]0. ГИРА'!BL4</f>
        <v>#DIV/0!</v>
      </c>
      <c r="BM4" s="24"/>
      <c r="BN4" s="24"/>
      <c r="BO4" s="25" t="e">
        <f>'[1]0. ГИРА'!BO4</f>
        <v>#DIV/0!</v>
      </c>
      <c r="BP4" s="24"/>
      <c r="BQ4" s="24"/>
      <c r="BR4" s="25" t="e">
        <f>'[1]0. ГИРА'!BR4</f>
        <v>#DIV/0!</v>
      </c>
      <c r="BS4" s="24"/>
      <c r="BT4" s="24"/>
      <c r="BU4" s="25" t="e">
        <f>'[1]0. ГИРА'!BU4</f>
        <v>#DIV/0!</v>
      </c>
      <c r="BV4" s="24"/>
      <c r="BW4" s="24"/>
      <c r="BX4" s="25" t="e">
        <f>'[1]0. ГИРА'!BX4</f>
        <v>#DIV/0!</v>
      </c>
      <c r="BY4" s="24"/>
      <c r="BZ4" s="24"/>
      <c r="CA4" s="25" t="e">
        <f>'[1]0. ГИРА'!CA4</f>
        <v>#DIV/0!</v>
      </c>
      <c r="CB4" s="24"/>
      <c r="CC4" s="24"/>
      <c r="CD4" s="25">
        <f>'[1]0. ГИРА'!CD4</f>
        <v>0</v>
      </c>
    </row>
    <row r="5" spans="1:82" ht="45" customHeight="1">
      <c r="C5" s="30" t="s">
        <v>12</v>
      </c>
      <c r="D5" s="21">
        <v>0</v>
      </c>
      <c r="E5" s="21">
        <v>0</v>
      </c>
      <c r="F5" s="22">
        <f>E5-D5</f>
        <v>0</v>
      </c>
      <c r="G5" s="23"/>
      <c r="H5" s="21">
        <v>0</v>
      </c>
      <c r="I5" s="22">
        <f>H5-E5</f>
        <v>0</v>
      </c>
      <c r="J5" s="23">
        <f>I5*J6</f>
        <v>0</v>
      </c>
      <c r="K5" s="21">
        <v>0</v>
      </c>
      <c r="L5" s="22">
        <f>K5-H5</f>
        <v>0</v>
      </c>
      <c r="M5" s="23">
        <f>L5*M6</f>
        <v>0</v>
      </c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45" customHeight="1">
      <c r="A6" s="37" t="s">
        <v>26</v>
      </c>
      <c r="B6" s="34" t="str">
        <f>[1]Реестр!M2</f>
        <v xml:space="preserve">Альфия    </v>
      </c>
      <c r="C6" s="30" t="s">
        <v>13</v>
      </c>
      <c r="D6" s="24"/>
      <c r="E6" s="24"/>
      <c r="F6" s="24"/>
      <c r="G6" s="25">
        <f>'[1]0. ГИРА'!G6</f>
        <v>60</v>
      </c>
      <c r="H6" s="24"/>
      <c r="I6" s="24"/>
      <c r="J6" s="25">
        <f>'[1]0. ГИРА'!J6</f>
        <v>60</v>
      </c>
      <c r="K6" s="24"/>
      <c r="L6" s="24"/>
      <c r="M6" s="25">
        <f>'[1]0. ГИРА'!M6</f>
        <v>60</v>
      </c>
      <c r="N6" s="24"/>
      <c r="O6" s="24"/>
      <c r="P6" s="25">
        <f>'[1]0. ГИРА'!P6</f>
        <v>0</v>
      </c>
      <c r="Q6" s="24"/>
      <c r="R6" s="24"/>
      <c r="S6" s="25" t="e">
        <f>'[1]0. ГИРА'!S6</f>
        <v>#DIV/0!</v>
      </c>
      <c r="T6" s="24"/>
      <c r="U6" s="24"/>
      <c r="V6" s="25" t="e">
        <f>'[1]0. ГИРА'!V6</f>
        <v>#DIV/0!</v>
      </c>
      <c r="W6" s="24"/>
      <c r="X6" s="24"/>
      <c r="Y6" s="25" t="e">
        <f>'[1]0. ГИРА'!Y6</f>
        <v>#DIV/0!</v>
      </c>
      <c r="Z6" s="24"/>
      <c r="AA6" s="24"/>
      <c r="AB6" s="25" t="e">
        <f>'[1]0. ГИРА'!AB6</f>
        <v>#DIV/0!</v>
      </c>
      <c r="AC6" s="24"/>
      <c r="AD6" s="24"/>
      <c r="AE6" s="25" t="e">
        <f>'[1]0. ГИРА'!AE6</f>
        <v>#DIV/0!</v>
      </c>
      <c r="AF6" s="24"/>
      <c r="AG6" s="24"/>
      <c r="AH6" s="25" t="e">
        <f>'[1]0. ГИРА'!AH6</f>
        <v>#DIV/0!</v>
      </c>
      <c r="AI6" s="24"/>
      <c r="AJ6" s="24"/>
      <c r="AK6" s="25" t="e">
        <f>'[1]0. ГИРА'!AK6</f>
        <v>#DIV/0!</v>
      </c>
      <c r="AL6" s="24"/>
      <c r="AM6" s="24"/>
      <c r="AN6" s="25" t="e">
        <f>'[1]0. ГИРА'!AN6</f>
        <v>#DIV/0!</v>
      </c>
      <c r="AO6" s="24"/>
      <c r="AP6" s="24"/>
      <c r="AQ6" s="25" t="e">
        <f>'[1]0. ГИРА'!AQ6</f>
        <v>#DIV/0!</v>
      </c>
      <c r="AR6" s="24"/>
      <c r="AS6" s="24"/>
      <c r="AT6" s="25" t="e">
        <f>'[1]0. ГИРА'!AT6</f>
        <v>#DIV/0!</v>
      </c>
      <c r="AU6" s="24"/>
      <c r="AV6" s="24"/>
      <c r="AW6" s="25" t="e">
        <f>'[1]0. ГИРА'!AW6</f>
        <v>#DIV/0!</v>
      </c>
      <c r="AX6" s="24"/>
      <c r="AY6" s="24"/>
      <c r="AZ6" s="25" t="e">
        <f>'[1]0. ГИРА'!AZ6</f>
        <v>#DIV/0!</v>
      </c>
      <c r="BA6" s="24"/>
      <c r="BB6" s="24"/>
      <c r="BC6" s="25" t="e">
        <f>'[1]0. ГИРА'!BC6</f>
        <v>#DIV/0!</v>
      </c>
      <c r="BD6" s="24"/>
      <c r="BE6" s="24"/>
      <c r="BF6" s="25" t="e">
        <f>'[1]0. ГИРА'!BF6</f>
        <v>#DIV/0!</v>
      </c>
      <c r="BG6" s="24"/>
      <c r="BH6" s="24"/>
      <c r="BI6" s="25" t="e">
        <f>'[1]0. ГИРА'!BI6</f>
        <v>#DIV/0!</v>
      </c>
      <c r="BJ6" s="24"/>
      <c r="BK6" s="24"/>
      <c r="BL6" s="25" t="e">
        <f>'[1]0. ГИРА'!BL6</f>
        <v>#DIV/0!</v>
      </c>
      <c r="BM6" s="24"/>
      <c r="BN6" s="24"/>
      <c r="BO6" s="25" t="e">
        <f>'[1]0. ГИРА'!BO6</f>
        <v>#DIV/0!</v>
      </c>
      <c r="BP6" s="24"/>
      <c r="BQ6" s="24"/>
      <c r="BR6" s="25" t="e">
        <f>'[1]0. ГИРА'!BR6</f>
        <v>#DIV/0!</v>
      </c>
      <c r="BS6" s="24"/>
      <c r="BT6" s="24"/>
      <c r="BU6" s="25" t="e">
        <f>'[1]0. ГИРА'!BU6</f>
        <v>#DIV/0!</v>
      </c>
      <c r="BV6" s="24"/>
      <c r="BW6" s="24"/>
      <c r="BX6" s="25" t="e">
        <f>'[1]0. ГИРА'!BX6</f>
        <v>#DIV/0!</v>
      </c>
      <c r="BY6" s="24"/>
      <c r="BZ6" s="24"/>
      <c r="CA6" s="25" t="e">
        <f>'[1]0. ГИРА'!CA6</f>
        <v>#DIV/0!</v>
      </c>
      <c r="CB6" s="24"/>
      <c r="CC6" s="24"/>
      <c r="CD6" s="25">
        <f>'[1]0. ГИРА'!CD6</f>
        <v>0</v>
      </c>
    </row>
    <row r="7" spans="1:82" ht="45" customHeight="1">
      <c r="A7" s="38" t="s">
        <v>27</v>
      </c>
      <c r="B7" s="33">
        <f>[1]Реестр!N2</f>
        <v>89503228511</v>
      </c>
      <c r="C7" s="30" t="s">
        <v>14</v>
      </c>
      <c r="D7" s="68">
        <v>0</v>
      </c>
      <c r="E7" s="68">
        <v>0</v>
      </c>
      <c r="F7" s="69">
        <f>E7-D7</f>
        <v>0</v>
      </c>
      <c r="G7" s="70">
        <f>G8*F7</f>
        <v>0</v>
      </c>
      <c r="H7" s="68">
        <v>0</v>
      </c>
      <c r="I7" s="22">
        <f>H7-E7</f>
        <v>0</v>
      </c>
      <c r="J7" s="70">
        <f>J8*I7</f>
        <v>0</v>
      </c>
      <c r="K7" s="68">
        <v>0</v>
      </c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45" customHeight="1">
      <c r="A8" s="37" t="s">
        <v>29</v>
      </c>
      <c r="B8" s="33" t="str">
        <f>[1]Реестр!O2</f>
        <v>Карина</v>
      </c>
      <c r="C8" s="30" t="s">
        <v>15</v>
      </c>
      <c r="D8" s="71"/>
      <c r="E8" s="71"/>
      <c r="F8" s="71"/>
      <c r="G8" s="72">
        <f>'[1]0. ГИРА'!G8</f>
        <v>300</v>
      </c>
      <c r="H8" s="71"/>
      <c r="I8" s="71"/>
      <c r="J8" s="72">
        <f>'[1]0. ГИРА'!J8</f>
        <v>300</v>
      </c>
      <c r="K8" s="71"/>
      <c r="L8" s="71"/>
      <c r="M8" s="72">
        <f>'[1]0. ГИРА'!M8</f>
        <v>300</v>
      </c>
      <c r="N8" s="71"/>
      <c r="O8" s="71"/>
      <c r="P8" s="72">
        <f>'[1]0. ГИРА'!P8</f>
        <v>0</v>
      </c>
      <c r="Q8" s="71"/>
      <c r="R8" s="71"/>
      <c r="S8" s="72" t="e">
        <f>'[1]0. ГИРА'!S8</f>
        <v>#DIV/0!</v>
      </c>
      <c r="T8" s="71"/>
      <c r="U8" s="71"/>
      <c r="V8" s="72" t="e">
        <f>'[1]0. ГИРА'!V8</f>
        <v>#DIV/0!</v>
      </c>
      <c r="W8" s="71"/>
      <c r="X8" s="71"/>
      <c r="Y8" s="72" t="e">
        <f>'[1]0. ГИРА'!Y8</f>
        <v>#DIV/0!</v>
      </c>
      <c r="Z8" s="71"/>
      <c r="AA8" s="71"/>
      <c r="AB8" s="72" t="e">
        <f>'[1]0. ГИРА'!AB8</f>
        <v>#DIV/0!</v>
      </c>
      <c r="AC8" s="71"/>
      <c r="AD8" s="71"/>
      <c r="AE8" s="72" t="e">
        <f>'[1]0. ГИРА'!AE8</f>
        <v>#DIV/0!</v>
      </c>
      <c r="AF8" s="71"/>
      <c r="AG8" s="71"/>
      <c r="AH8" s="72" t="e">
        <f>'[1]0. ГИРА'!AH8</f>
        <v>#DIV/0!</v>
      </c>
      <c r="AI8" s="71"/>
      <c r="AJ8" s="71"/>
      <c r="AK8" s="72" t="e">
        <f>'[1]0. ГИРА'!AK8</f>
        <v>#DIV/0!</v>
      </c>
      <c r="AL8" s="71"/>
      <c r="AM8" s="71"/>
      <c r="AN8" s="72" t="e">
        <f>'[1]0. ГИРА'!AN8</f>
        <v>#DIV/0!</v>
      </c>
      <c r="AO8" s="71"/>
      <c r="AP8" s="71"/>
      <c r="AQ8" s="72" t="e">
        <f>'[1]0. ГИРА'!AQ8</f>
        <v>#DIV/0!</v>
      </c>
      <c r="AR8" s="71"/>
      <c r="AS8" s="71"/>
      <c r="AT8" s="72" t="e">
        <f>'[1]0. ГИРА'!AT8</f>
        <v>#DIV/0!</v>
      </c>
      <c r="AU8" s="71"/>
      <c r="AV8" s="71"/>
      <c r="AW8" s="72" t="e">
        <f>'[1]0. ГИРА'!AW8</f>
        <v>#DIV/0!</v>
      </c>
      <c r="AX8" s="71"/>
      <c r="AY8" s="71"/>
      <c r="AZ8" s="72" t="e">
        <f>'[1]0. ГИРА'!AZ8</f>
        <v>#DIV/0!</v>
      </c>
      <c r="BA8" s="71"/>
      <c r="BB8" s="71"/>
      <c r="BC8" s="72" t="e">
        <f>'[1]0. ГИРА'!BC8</f>
        <v>#DIV/0!</v>
      </c>
      <c r="BD8" s="71"/>
      <c r="BE8" s="71"/>
      <c r="BF8" s="72" t="e">
        <f>'[1]0. ГИРА'!BF8</f>
        <v>#DIV/0!</v>
      </c>
      <c r="BG8" s="71"/>
      <c r="BH8" s="71"/>
      <c r="BI8" s="72" t="e">
        <f>'[1]0. ГИРА'!BI8</f>
        <v>#DIV/0!</v>
      </c>
      <c r="BJ8" s="71"/>
      <c r="BK8" s="71"/>
      <c r="BL8" s="72" t="e">
        <f>'[1]0. ГИРА'!BL8</f>
        <v>#DIV/0!</v>
      </c>
      <c r="BM8" s="71"/>
      <c r="BN8" s="71"/>
      <c r="BO8" s="72" t="e">
        <f>'[1]0. ГИРА'!BO8</f>
        <v>#DIV/0!</v>
      </c>
      <c r="BP8" s="71"/>
      <c r="BQ8" s="71"/>
      <c r="BR8" s="72" t="e">
        <f>'[1]0. ГИРА'!BR8</f>
        <v>#DIV/0!</v>
      </c>
      <c r="BS8" s="71"/>
      <c r="BT8" s="71"/>
      <c r="BU8" s="72" t="e">
        <f>'[1]0. ГИРА'!BU8</f>
        <v>#DIV/0!</v>
      </c>
      <c r="BV8" s="71"/>
      <c r="BW8" s="71"/>
      <c r="BX8" s="72" t="e">
        <f>'[1]0. ГИРА'!BX8</f>
        <v>#DIV/0!</v>
      </c>
      <c r="BY8" s="71"/>
      <c r="BZ8" s="71"/>
      <c r="CA8" s="72" t="e">
        <f>'[1]0. ГИРА'!CA8</f>
        <v>#DIV/0!</v>
      </c>
      <c r="CB8" s="71"/>
      <c r="CC8" s="71"/>
      <c r="CD8" s="72">
        <f>'[1]0. ГИРА'!CD8</f>
        <v>0</v>
      </c>
    </row>
    <row r="9" spans="1:82" ht="14.1" customHeight="1">
      <c r="A9" s="38" t="s">
        <v>30</v>
      </c>
      <c r="B9" s="34">
        <f>[1]Реестр!P2</f>
        <v>89372840305</v>
      </c>
      <c r="C9" s="20" t="s">
        <v>16</v>
      </c>
      <c r="D9" s="21"/>
      <c r="E9" s="21"/>
      <c r="F9" s="22">
        <f>E9-D9</f>
        <v>0</v>
      </c>
      <c r="G9" s="23">
        <f>G10*B4</f>
        <v>22150.989845112323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M10*$B4</f>
        <v>22150.989845112323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30" customHeight="1">
      <c r="C10" s="20" t="s">
        <v>17</v>
      </c>
      <c r="D10" s="24"/>
      <c r="E10" s="24"/>
      <c r="F10" s="24"/>
      <c r="G10" s="25">
        <f>'[1]0. ГИРА'!G10</f>
        <v>179.50559031695562</v>
      </c>
      <c r="H10" s="24"/>
      <c r="I10" s="24"/>
      <c r="J10" s="25">
        <f>'[1]0. ГИРА'!J10</f>
        <v>215.40670838034677</v>
      </c>
      <c r="K10" s="24"/>
      <c r="L10" s="24"/>
      <c r="M10" s="25">
        <f>'[1]0. ГИРА'!M10</f>
        <v>179.50559031695562</v>
      </c>
      <c r="N10" s="24"/>
      <c r="O10" s="24"/>
      <c r="P10" s="25">
        <f>'[1]0. ГИРА'!P10</f>
        <v>0</v>
      </c>
      <c r="Q10" s="24"/>
      <c r="R10" s="24"/>
      <c r="S10" s="25">
        <f>'[1]0. ГИРА'!S10</f>
        <v>0</v>
      </c>
      <c r="T10" s="24"/>
      <c r="U10" s="24"/>
      <c r="V10" s="25">
        <f>'[1]0. ГИРА'!V10</f>
        <v>0</v>
      </c>
      <c r="W10" s="24"/>
      <c r="X10" s="24"/>
      <c r="Y10" s="25">
        <f>'[1]0. ГИРА'!Y10</f>
        <v>0</v>
      </c>
      <c r="Z10" s="24"/>
      <c r="AA10" s="24"/>
      <c r="AB10" s="25">
        <f>'[1]0. ГИРА'!AB10</f>
        <v>0</v>
      </c>
      <c r="AC10" s="24"/>
      <c r="AD10" s="24"/>
      <c r="AE10" s="25">
        <f>'[1]0. ГИРА'!AE10</f>
        <v>0</v>
      </c>
      <c r="AF10" s="24"/>
      <c r="AG10" s="24"/>
      <c r="AH10" s="25">
        <f>'[1]0. ГИРА'!AH10</f>
        <v>0</v>
      </c>
      <c r="AI10" s="24"/>
      <c r="AJ10" s="24"/>
      <c r="AK10" s="25">
        <f>'[1]0. ГИРА'!AK10</f>
        <v>0</v>
      </c>
      <c r="AL10" s="24"/>
      <c r="AM10" s="24"/>
      <c r="AN10" s="25">
        <f>'[1]0. ГИРА'!AN10</f>
        <v>0</v>
      </c>
      <c r="AO10" s="24"/>
      <c r="AP10" s="24"/>
      <c r="AQ10" s="25">
        <f>'[1]0. ГИРА'!AQ10</f>
        <v>0</v>
      </c>
      <c r="AR10" s="24"/>
      <c r="AS10" s="24"/>
      <c r="AT10" s="25">
        <f>'[1]0. ГИРА'!AT10</f>
        <v>0</v>
      </c>
      <c r="AU10" s="24"/>
      <c r="AV10" s="24"/>
      <c r="AW10" s="25">
        <f>'[1]0. ГИРА'!AW10</f>
        <v>0</v>
      </c>
      <c r="AX10" s="24"/>
      <c r="AY10" s="24"/>
      <c r="AZ10" s="25">
        <f>'[1]0. ГИРА'!AZ10</f>
        <v>0</v>
      </c>
      <c r="BA10" s="24"/>
      <c r="BB10" s="24"/>
      <c r="BC10" s="25">
        <f>'[1]0. ГИРА'!BC10</f>
        <v>0</v>
      </c>
      <c r="BD10" s="24"/>
      <c r="BE10" s="24"/>
      <c r="BF10" s="25">
        <f>'[1]0. ГИРА'!BF10</f>
        <v>0</v>
      </c>
      <c r="BG10" s="24"/>
      <c r="BH10" s="24"/>
      <c r="BI10" s="25">
        <f>'[1]0. ГИРА'!BI10</f>
        <v>0</v>
      </c>
      <c r="BJ10" s="24"/>
      <c r="BK10" s="24"/>
      <c r="BL10" s="25">
        <f>'[1]0. ГИРА'!BL10</f>
        <v>0</v>
      </c>
      <c r="BM10" s="24"/>
      <c r="BN10" s="24"/>
      <c r="BO10" s="25">
        <f>'[1]0. ГИРА'!BO10</f>
        <v>0</v>
      </c>
      <c r="BP10" s="24"/>
      <c r="BQ10" s="24"/>
      <c r="BR10" s="25">
        <f>'[1]0. ГИРА'!BR10</f>
        <v>0</v>
      </c>
      <c r="BS10" s="24"/>
      <c r="BT10" s="24"/>
      <c r="BU10" s="25">
        <f>'[1]0. ГИРА'!BU10</f>
        <v>4.3081341676069349E-2</v>
      </c>
      <c r="BV10" s="24"/>
      <c r="BW10" s="24"/>
      <c r="BX10" s="25">
        <f>'[1]0. ГИРА'!BX10</f>
        <v>4.5132834136834561E-2</v>
      </c>
      <c r="BY10" s="24"/>
      <c r="BZ10" s="24"/>
      <c r="CA10" s="25">
        <f>'[1]0. ГИРА'!CA10</f>
        <v>4.7184326597599767E-2</v>
      </c>
      <c r="CB10" s="24"/>
      <c r="CC10" s="24"/>
      <c r="CD10" s="25">
        <f>'[1]0. ГИРА'!CD10</f>
        <v>0</v>
      </c>
    </row>
    <row r="11" spans="1:82">
      <c r="A11" s="67" t="s">
        <v>31</v>
      </c>
      <c r="C11" s="26" t="s">
        <v>18</v>
      </c>
      <c r="D11" s="21"/>
      <c r="E11" s="21"/>
      <c r="F11" s="22">
        <f>E11-D11</f>
        <v>0</v>
      </c>
      <c r="G11" s="23">
        <f>'[1]0. ГИРА'!G12</f>
        <v>174.37685916504262</v>
      </c>
      <c r="H11" s="21"/>
      <c r="I11" s="22">
        <f>H11-G11</f>
        <v>-174.37685916504262</v>
      </c>
      <c r="J11" s="23">
        <f>'[1]0. ГИРА'!J12</f>
        <v>174.37685916504262</v>
      </c>
      <c r="K11" s="21"/>
      <c r="L11" s="22">
        <f>K11-J11</f>
        <v>-174.37685916504262</v>
      </c>
      <c r="M11" s="23">
        <f>'[1]0. ГИРА'!M12</f>
        <v>164.11939686121659</v>
      </c>
      <c r="N11" s="21"/>
      <c r="O11" s="22">
        <f>N11-M11</f>
        <v>-164.11939686121659</v>
      </c>
      <c r="P11" s="23">
        <f>'[1]0. ГИРА'!P12</f>
        <v>0</v>
      </c>
      <c r="Q11" s="21"/>
      <c r="R11" s="22">
        <f>Q11-P11</f>
        <v>0</v>
      </c>
      <c r="S11" s="23">
        <f>'[1]0. ГИРА'!S12</f>
        <v>0</v>
      </c>
      <c r="T11" s="21"/>
      <c r="U11" s="22">
        <f>T11-S11</f>
        <v>0</v>
      </c>
      <c r="V11" s="23">
        <f>'[1]0. ГИРА'!V12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'[1]0. ГИРА'!G12</f>
        <v>174.37685916504262</v>
      </c>
      <c r="H12" s="24"/>
      <c r="I12" s="24"/>
      <c r="J12" s="25">
        <f>'[1]0. ГИРА'!J12</f>
        <v>174.37685916504262</v>
      </c>
      <c r="K12" s="24"/>
      <c r="L12" s="24"/>
      <c r="M12" s="25">
        <f>'[1]0. ГИРА'!M12</f>
        <v>164.11939686121659</v>
      </c>
      <c r="N12" s="24"/>
      <c r="O12" s="24"/>
      <c r="P12" s="25">
        <f>'[1]0. ГИРА'!P12</f>
        <v>0</v>
      </c>
      <c r="Q12" s="24"/>
      <c r="R12" s="24"/>
      <c r="S12" s="25">
        <f>'[1]0. ГИРА'!S12</f>
        <v>0</v>
      </c>
      <c r="T12" s="24"/>
      <c r="U12" s="24"/>
      <c r="V12" s="25">
        <f>'[1]0. ГИРА'!V12</f>
        <v>0</v>
      </c>
      <c r="W12" s="24"/>
      <c r="X12" s="24"/>
      <c r="Y12" s="25">
        <f>'[1]0. ГИРА'!Y12</f>
        <v>0</v>
      </c>
      <c r="Z12" s="24"/>
      <c r="AA12" s="24"/>
      <c r="AB12" s="25">
        <f>'[1]0. ГИРА'!AB12</f>
        <v>0</v>
      </c>
      <c r="AC12" s="24"/>
      <c r="AD12" s="24"/>
      <c r="AE12" s="25">
        <f>'[1]0. ГИРА'!AE12</f>
        <v>0</v>
      </c>
      <c r="AF12" s="24"/>
      <c r="AG12" s="24"/>
      <c r="AH12" s="25">
        <f>'[1]0. ГИРА'!AH12</f>
        <v>0</v>
      </c>
      <c r="AI12" s="24"/>
      <c r="AJ12" s="24"/>
      <c r="AK12" s="25">
        <f>'[1]0. ГИРА'!AK12</f>
        <v>0</v>
      </c>
      <c r="AL12" s="24"/>
      <c r="AM12" s="24"/>
      <c r="AN12" s="25">
        <f>'[1]0. ГИРА'!AN12</f>
        <v>0</v>
      </c>
      <c r="AO12" s="24"/>
      <c r="AP12" s="24"/>
      <c r="AQ12" s="25">
        <f>'[1]0. ГИРА'!AQ12</f>
        <v>0</v>
      </c>
      <c r="AR12" s="24"/>
      <c r="AS12" s="24"/>
      <c r="AT12" s="25">
        <f>'[1]0. ГИРА'!AT12</f>
        <v>0</v>
      </c>
      <c r="AU12" s="24"/>
      <c r="AV12" s="24"/>
      <c r="AW12" s="25">
        <f>'[1]0. ГИРА'!AW12</f>
        <v>0</v>
      </c>
      <c r="AX12" s="24"/>
      <c r="AY12" s="24"/>
      <c r="AZ12" s="25">
        <f>'[1]0. ГИРА'!AZ12</f>
        <v>0</v>
      </c>
      <c r="BA12" s="24"/>
      <c r="BB12" s="24"/>
      <c r="BC12" s="25">
        <f>'[1]0. ГИРА'!BC12</f>
        <v>0</v>
      </c>
      <c r="BD12" s="24"/>
      <c r="BE12" s="24"/>
      <c r="BF12" s="25">
        <f>'[1]0. ГИРА'!BF12</f>
        <v>0</v>
      </c>
      <c r="BG12" s="24"/>
      <c r="BH12" s="24"/>
      <c r="BI12" s="25">
        <f>'[1]0. ГИРА'!BI12</f>
        <v>0</v>
      </c>
      <c r="BJ12" s="24"/>
      <c r="BK12" s="24"/>
      <c r="BL12" s="25">
        <f>'[1]0. ГИРА'!BL12</f>
        <v>0</v>
      </c>
      <c r="BM12" s="24"/>
      <c r="BN12" s="24"/>
      <c r="BO12" s="25">
        <f>'[1]0. ГИРА'!BO12</f>
        <v>0</v>
      </c>
      <c r="BP12" s="24"/>
      <c r="BQ12" s="24"/>
      <c r="BR12" s="25">
        <f>'[1]0. ГИРА'!BR12</f>
        <v>0</v>
      </c>
      <c r="BS12" s="24"/>
      <c r="BT12" s="24"/>
      <c r="BU12" s="25">
        <f>'[1]0. ГИРА'!BU12</f>
        <v>4.3081341676069349E-2</v>
      </c>
      <c r="BV12" s="24"/>
      <c r="BW12" s="24"/>
      <c r="BX12" s="25">
        <f>'[1]0. ГИРА'!BX12</f>
        <v>4.5132834136834561E-2</v>
      </c>
      <c r="BY12" s="24"/>
      <c r="BZ12" s="24"/>
      <c r="CA12" s="25">
        <f>'[1]0. ГИРА'!CA12</f>
        <v>4.7184326597599767E-2</v>
      </c>
      <c r="CB12" s="24"/>
      <c r="CC12" s="24"/>
      <c r="CD12" s="25">
        <f>'[1]0. ГИРА'!CD12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D12"/>
  <sheetViews>
    <sheetView workbookViewId="0"/>
  </sheetViews>
  <sheetFormatPr defaultColWidth="11.42578125" defaultRowHeight="15"/>
  <cols>
    <col min="13" max="13" width="13" customWidth="1"/>
  </cols>
  <sheetData>
    <row r="1" spans="1:82">
      <c r="A1" s="33" t="s">
        <v>9</v>
      </c>
      <c r="B1" s="33">
        <f>[1]Реестр!D2</f>
        <v>444</v>
      </c>
      <c r="C1" s="18" t="s">
        <v>1</v>
      </c>
      <c r="D1" s="19">
        <v>45962</v>
      </c>
      <c r="E1" s="19">
        <v>45992</v>
      </c>
      <c r="F1" s="75" t="s">
        <v>2</v>
      </c>
      <c r="G1" s="76">
        <v>45962</v>
      </c>
      <c r="H1" s="19">
        <v>46023</v>
      </c>
      <c r="I1" s="75" t="s">
        <v>2</v>
      </c>
      <c r="J1" s="76">
        <v>45992</v>
      </c>
      <c r="K1" s="19">
        <v>46054</v>
      </c>
      <c r="L1" s="75" t="s">
        <v>2</v>
      </c>
      <c r="M1" s="76">
        <v>46023</v>
      </c>
      <c r="N1" s="19">
        <v>46082</v>
      </c>
      <c r="O1" s="75" t="s">
        <v>2</v>
      </c>
      <c r="P1" s="76">
        <v>46054</v>
      </c>
      <c r="Q1" s="19">
        <v>46113</v>
      </c>
      <c r="R1" s="75" t="s">
        <v>2</v>
      </c>
      <c r="S1" s="76">
        <v>46082</v>
      </c>
      <c r="T1" s="19">
        <v>46143</v>
      </c>
      <c r="U1" s="75" t="s">
        <v>2</v>
      </c>
      <c r="V1" s="76">
        <v>46113</v>
      </c>
      <c r="W1" s="19">
        <v>46174</v>
      </c>
      <c r="X1" s="75" t="s">
        <v>2</v>
      </c>
      <c r="Y1" s="76">
        <v>46143</v>
      </c>
      <c r="Z1" s="19">
        <v>46204</v>
      </c>
      <c r="AA1" s="75" t="s">
        <v>2</v>
      </c>
      <c r="AB1" s="76">
        <v>46174</v>
      </c>
      <c r="AC1" s="19">
        <v>46235</v>
      </c>
      <c r="AD1" s="75" t="s">
        <v>2</v>
      </c>
      <c r="AE1" s="76">
        <v>46204</v>
      </c>
      <c r="AF1" s="19">
        <v>46266</v>
      </c>
      <c r="AG1" s="75" t="s">
        <v>2</v>
      </c>
      <c r="AH1" s="76">
        <v>46235</v>
      </c>
      <c r="AI1" s="19">
        <v>46296</v>
      </c>
      <c r="AJ1" s="75" t="s">
        <v>2</v>
      </c>
      <c r="AK1" s="76">
        <v>46266</v>
      </c>
      <c r="AL1" s="19">
        <v>46327</v>
      </c>
      <c r="AM1" s="75" t="s">
        <v>2</v>
      </c>
      <c r="AN1" s="76">
        <v>46296</v>
      </c>
      <c r="AO1" s="19">
        <v>46357</v>
      </c>
      <c r="AP1" s="75" t="s">
        <v>2</v>
      </c>
      <c r="AQ1" s="76">
        <v>46327</v>
      </c>
      <c r="AR1" s="19">
        <v>46388</v>
      </c>
      <c r="AS1" s="75" t="s">
        <v>2</v>
      </c>
      <c r="AT1" s="76">
        <v>46357</v>
      </c>
      <c r="AU1" s="19">
        <v>46419</v>
      </c>
      <c r="AV1" s="75" t="s">
        <v>2</v>
      </c>
      <c r="AW1" s="76">
        <v>46388</v>
      </c>
      <c r="AX1" s="19">
        <v>46447</v>
      </c>
      <c r="AY1" s="75" t="s">
        <v>2</v>
      </c>
      <c r="AZ1" s="76">
        <v>46419</v>
      </c>
      <c r="BA1" s="19">
        <v>46478</v>
      </c>
      <c r="BB1" s="75" t="s">
        <v>2</v>
      </c>
      <c r="BC1" s="76">
        <v>46447</v>
      </c>
      <c r="BD1" s="19">
        <v>46508</v>
      </c>
      <c r="BE1" s="75" t="s">
        <v>2</v>
      </c>
      <c r="BF1" s="76">
        <v>46478</v>
      </c>
      <c r="BG1" s="19">
        <v>46539</v>
      </c>
      <c r="BH1" s="75" t="s">
        <v>2</v>
      </c>
      <c r="BI1" s="76">
        <v>46508</v>
      </c>
      <c r="BJ1" s="19">
        <v>46569</v>
      </c>
      <c r="BK1" s="75" t="s">
        <v>2</v>
      </c>
      <c r="BL1" s="76">
        <v>46539</v>
      </c>
      <c r="BM1" s="19">
        <v>46600</v>
      </c>
      <c r="BN1" s="75" t="s">
        <v>2</v>
      </c>
      <c r="BO1" s="76">
        <v>46569</v>
      </c>
      <c r="BP1" s="19">
        <v>46631</v>
      </c>
      <c r="BQ1" s="75" t="s">
        <v>2</v>
      </c>
      <c r="BR1" s="76">
        <v>46600</v>
      </c>
      <c r="BS1" s="19">
        <v>46661</v>
      </c>
      <c r="BT1" s="75" t="s">
        <v>2</v>
      </c>
      <c r="BU1" s="76">
        <v>46631</v>
      </c>
      <c r="BV1" s="19">
        <v>46692</v>
      </c>
      <c r="BW1" s="75" t="s">
        <v>2</v>
      </c>
      <c r="BX1" s="76">
        <v>46661</v>
      </c>
      <c r="BY1" s="19">
        <v>46722</v>
      </c>
      <c r="BZ1" s="75" t="s">
        <v>2</v>
      </c>
      <c r="CA1" s="76">
        <v>46692</v>
      </c>
      <c r="CB1" s="19">
        <v>46753</v>
      </c>
      <c r="CC1" s="75" t="s">
        <v>2</v>
      </c>
      <c r="CD1" s="76">
        <v>46722</v>
      </c>
    </row>
    <row r="2" spans="1:82">
      <c r="A2" s="33" t="s">
        <v>0</v>
      </c>
      <c r="B2" s="33" t="str">
        <f>[2]Реестр!B2</f>
        <v>1006:3090</v>
      </c>
      <c r="C2" s="75"/>
      <c r="D2" s="17" t="s">
        <v>5</v>
      </c>
      <c r="E2" s="17" t="s">
        <v>5</v>
      </c>
      <c r="F2" s="17" t="s">
        <v>5</v>
      </c>
      <c r="G2" s="17" t="s">
        <v>6</v>
      </c>
      <c r="H2" s="17" t="s">
        <v>5</v>
      </c>
      <c r="I2" s="17" t="s">
        <v>5</v>
      </c>
      <c r="J2" s="17" t="s">
        <v>6</v>
      </c>
      <c r="K2" s="17" t="s">
        <v>5</v>
      </c>
      <c r="L2" s="17" t="s">
        <v>5</v>
      </c>
      <c r="M2" s="17" t="s">
        <v>6</v>
      </c>
      <c r="N2" s="17" t="s">
        <v>5</v>
      </c>
      <c r="O2" s="17" t="s">
        <v>23</v>
      </c>
      <c r="P2" s="17" t="s">
        <v>6</v>
      </c>
      <c r="Q2" s="17" t="s">
        <v>5</v>
      </c>
      <c r="R2" s="17" t="s">
        <v>5</v>
      </c>
      <c r="S2" s="17" t="s">
        <v>6</v>
      </c>
      <c r="T2" s="17" t="s">
        <v>5</v>
      </c>
      <c r="U2" s="17" t="s">
        <v>5</v>
      </c>
      <c r="V2" s="17" t="s">
        <v>6</v>
      </c>
      <c r="W2" s="17" t="s">
        <v>5</v>
      </c>
      <c r="X2" s="17" t="s">
        <v>5</v>
      </c>
      <c r="Y2" s="17" t="s">
        <v>6</v>
      </c>
      <c r="Z2" s="17" t="s">
        <v>5</v>
      </c>
      <c r="AA2" s="17" t="s">
        <v>5</v>
      </c>
      <c r="AB2" s="17" t="s">
        <v>6</v>
      </c>
      <c r="AC2" s="17" t="s">
        <v>5</v>
      </c>
      <c r="AD2" s="17" t="s">
        <v>5</v>
      </c>
      <c r="AE2" s="17" t="s">
        <v>6</v>
      </c>
      <c r="AF2" s="17" t="s">
        <v>5</v>
      </c>
      <c r="AG2" s="17" t="s">
        <v>5</v>
      </c>
      <c r="AH2" s="17" t="s">
        <v>6</v>
      </c>
      <c r="AI2" s="17" t="s">
        <v>5</v>
      </c>
      <c r="AJ2" s="17" t="s">
        <v>5</v>
      </c>
      <c r="AK2" s="17" t="s">
        <v>6</v>
      </c>
      <c r="AL2" s="17" t="s">
        <v>5</v>
      </c>
      <c r="AM2" s="17" t="s">
        <v>5</v>
      </c>
      <c r="AN2" s="17" t="s">
        <v>6</v>
      </c>
      <c r="AO2" s="17" t="s">
        <v>5</v>
      </c>
      <c r="AP2" s="17" t="s">
        <v>5</v>
      </c>
      <c r="AQ2" s="17" t="s">
        <v>6</v>
      </c>
      <c r="AR2" s="17" t="s">
        <v>5</v>
      </c>
      <c r="AS2" s="17" t="s">
        <v>5</v>
      </c>
      <c r="AT2" s="17" t="s">
        <v>6</v>
      </c>
      <c r="AU2" s="17" t="s">
        <v>5</v>
      </c>
      <c r="AV2" s="17" t="s">
        <v>5</v>
      </c>
      <c r="AW2" s="17" t="s">
        <v>6</v>
      </c>
      <c r="AX2" s="17" t="s">
        <v>5</v>
      </c>
      <c r="AY2" s="17" t="s">
        <v>5</v>
      </c>
      <c r="AZ2" s="17" t="s">
        <v>6</v>
      </c>
      <c r="BA2" s="17" t="s">
        <v>5</v>
      </c>
      <c r="BB2" s="17" t="s">
        <v>5</v>
      </c>
      <c r="BC2" s="17" t="s">
        <v>6</v>
      </c>
      <c r="BD2" s="17" t="s">
        <v>5</v>
      </c>
      <c r="BE2" s="17" t="s">
        <v>5</v>
      </c>
      <c r="BF2" s="17" t="s">
        <v>6</v>
      </c>
      <c r="BG2" s="17" t="s">
        <v>5</v>
      </c>
      <c r="BH2" s="17" t="s">
        <v>5</v>
      </c>
      <c r="BI2" s="17" t="s">
        <v>6</v>
      </c>
      <c r="BJ2" s="17" t="s">
        <v>5</v>
      </c>
      <c r="BK2" s="17" t="s">
        <v>5</v>
      </c>
      <c r="BL2" s="17" t="s">
        <v>6</v>
      </c>
      <c r="BM2" s="17" t="s">
        <v>5</v>
      </c>
      <c r="BN2" s="17" t="s">
        <v>5</v>
      </c>
      <c r="BO2" s="17" t="s">
        <v>6</v>
      </c>
      <c r="BP2" s="17" t="s">
        <v>5</v>
      </c>
      <c r="BQ2" s="17" t="s">
        <v>5</v>
      </c>
      <c r="BR2" s="17" t="s">
        <v>6</v>
      </c>
      <c r="BS2" s="17" t="s">
        <v>5</v>
      </c>
      <c r="BT2" s="17" t="s">
        <v>5</v>
      </c>
      <c r="BU2" s="17" t="s">
        <v>6</v>
      </c>
      <c r="BV2" s="17" t="s">
        <v>5</v>
      </c>
      <c r="BW2" s="17" t="s">
        <v>5</v>
      </c>
      <c r="BX2" s="17" t="s">
        <v>6</v>
      </c>
      <c r="BY2" s="17" t="s">
        <v>5</v>
      </c>
      <c r="BZ2" s="17" t="s">
        <v>5</v>
      </c>
      <c r="CA2" s="17" t="s">
        <v>6</v>
      </c>
      <c r="CB2" s="17" t="s">
        <v>5</v>
      </c>
      <c r="CC2" s="17" t="s">
        <v>5</v>
      </c>
      <c r="CD2" s="17" t="s">
        <v>6</v>
      </c>
    </row>
    <row r="3" spans="1:82" ht="30" customHeight="1">
      <c r="A3" s="33" t="s">
        <v>24</v>
      </c>
      <c r="B3" s="34" t="str">
        <f>[2]Реестр!F2</f>
        <v>Гареева А.В.</v>
      </c>
      <c r="C3" s="20" t="s">
        <v>8</v>
      </c>
      <c r="D3" s="21">
        <v>0</v>
      </c>
      <c r="E3" s="21">
        <v>0</v>
      </c>
      <c r="F3" s="22">
        <f>E3-D3</f>
        <v>0</v>
      </c>
      <c r="G3" s="23">
        <f>F3*G4</f>
        <v>0</v>
      </c>
      <c r="H3" s="21">
        <v>0</v>
      </c>
      <c r="I3" s="22">
        <f>H3-E3</f>
        <v>0</v>
      </c>
      <c r="J3" s="23">
        <f>I3*J4</f>
        <v>0</v>
      </c>
      <c r="K3" s="21">
        <v>0</v>
      </c>
      <c r="L3" s="22">
        <f>K3-H3</f>
        <v>0</v>
      </c>
      <c r="M3" s="23">
        <f>L3*M4</f>
        <v>0</v>
      </c>
      <c r="N3" s="21"/>
      <c r="O3" s="22">
        <f>N3-K3</f>
        <v>0</v>
      </c>
      <c r="P3" s="23">
        <f>O3*P4</f>
        <v>0</v>
      </c>
      <c r="Q3" s="21"/>
      <c r="R3" s="22">
        <f>Q3-N3</f>
        <v>0</v>
      </c>
      <c r="S3" s="23" t="e">
        <f>R3*S4</f>
        <v>#DIV/0!</v>
      </c>
      <c r="T3" s="21"/>
      <c r="U3" s="22">
        <f>T3-Q3</f>
        <v>0</v>
      </c>
      <c r="V3" s="23" t="e">
        <f>U3*V4</f>
        <v>#DIV/0!</v>
      </c>
      <c r="W3" s="21"/>
      <c r="X3" s="22">
        <f>W3-T3</f>
        <v>0</v>
      </c>
      <c r="Y3" s="23" t="e">
        <f>X3*Y4</f>
        <v>#DIV/0!</v>
      </c>
      <c r="Z3" s="21"/>
      <c r="AA3" s="22">
        <f>Z3-W3</f>
        <v>0</v>
      </c>
      <c r="AB3" s="23" t="e">
        <f>AA3*AB4</f>
        <v>#DIV/0!</v>
      </c>
      <c r="AC3" s="21"/>
      <c r="AD3" s="22">
        <f>AC3-Z3</f>
        <v>0</v>
      </c>
      <c r="AE3" s="23" t="e">
        <f>AD3*AE4</f>
        <v>#DIV/0!</v>
      </c>
      <c r="AF3" s="21"/>
      <c r="AG3" s="22">
        <f>AF3-AC3</f>
        <v>0</v>
      </c>
      <c r="AH3" s="23" t="e">
        <f>AG3*AH4</f>
        <v>#DIV/0!</v>
      </c>
      <c r="AI3" s="21"/>
      <c r="AJ3" s="22">
        <f>AI3-AF3</f>
        <v>0</v>
      </c>
      <c r="AK3" s="23" t="e">
        <f>AJ3*AK4</f>
        <v>#DIV/0!</v>
      </c>
      <c r="AL3" s="21"/>
      <c r="AM3" s="22">
        <f>AL3-AI3</f>
        <v>0</v>
      </c>
      <c r="AN3" s="23" t="e">
        <f>AM3*AN4</f>
        <v>#DIV/0!</v>
      </c>
      <c r="AO3" s="21"/>
      <c r="AP3" s="22">
        <f>AO3-AL3</f>
        <v>0</v>
      </c>
      <c r="AQ3" s="23" t="e">
        <f>AP3*AQ4</f>
        <v>#DIV/0!</v>
      </c>
      <c r="AR3" s="21"/>
      <c r="AS3" s="22">
        <f>AR3-AO3</f>
        <v>0</v>
      </c>
      <c r="AT3" s="23" t="e">
        <f>AS3*AT4</f>
        <v>#DIV/0!</v>
      </c>
      <c r="AU3" s="21"/>
      <c r="AV3" s="22">
        <f>AU3-AR3</f>
        <v>0</v>
      </c>
      <c r="AW3" s="23" t="e">
        <f>AV3*AW4</f>
        <v>#DIV/0!</v>
      </c>
      <c r="AX3" s="21"/>
      <c r="AY3" s="22">
        <f>AX3-AU3</f>
        <v>0</v>
      </c>
      <c r="AZ3" s="23" t="e">
        <f>AY3*AZ4</f>
        <v>#DIV/0!</v>
      </c>
      <c r="BA3" s="21"/>
      <c r="BB3" s="22">
        <f>BA3-AX3</f>
        <v>0</v>
      </c>
      <c r="BC3" s="23" t="e">
        <f>BB3*BC4</f>
        <v>#DIV/0!</v>
      </c>
      <c r="BD3" s="21"/>
      <c r="BE3" s="22">
        <f>BD3-BA3</f>
        <v>0</v>
      </c>
      <c r="BF3" s="23" t="e">
        <f>BE3*BF4</f>
        <v>#DIV/0!</v>
      </c>
      <c r="BG3" s="21"/>
      <c r="BH3" s="22">
        <f>BG3-BD3</f>
        <v>0</v>
      </c>
      <c r="BI3" s="23" t="e">
        <f>BH3*BI4</f>
        <v>#DIV/0!</v>
      </c>
      <c r="BJ3" s="21"/>
      <c r="BK3" s="22">
        <f>BJ3-BG3</f>
        <v>0</v>
      </c>
      <c r="BL3" s="23" t="e">
        <f>BK3*BL4</f>
        <v>#DIV/0!</v>
      </c>
      <c r="BM3" s="21"/>
      <c r="BN3" s="22">
        <f>BM3-BJ3</f>
        <v>0</v>
      </c>
      <c r="BO3" s="23" t="e">
        <f>BN3*BO4</f>
        <v>#DIV/0!</v>
      </c>
      <c r="BP3" s="21"/>
      <c r="BQ3" s="22">
        <f>BP3-BM3</f>
        <v>0</v>
      </c>
      <c r="BR3" s="23" t="e">
        <f>BQ3*BR4</f>
        <v>#DIV/0!</v>
      </c>
      <c r="BS3" s="21"/>
      <c r="BT3" s="22">
        <f>BS3-BP3</f>
        <v>0</v>
      </c>
      <c r="BU3" s="23" t="e">
        <f>BT3*BU4</f>
        <v>#DIV/0!</v>
      </c>
      <c r="BV3" s="21"/>
      <c r="BW3" s="22">
        <f>BV3-BS3</f>
        <v>0</v>
      </c>
      <c r="BX3" s="23" t="e">
        <f>BW3*BX4</f>
        <v>#DIV/0!</v>
      </c>
      <c r="BY3" s="21"/>
      <c r="BZ3" s="22">
        <f>BY3-BV3</f>
        <v>0</v>
      </c>
      <c r="CA3" s="23" t="e">
        <f>BZ3*CA4</f>
        <v>#DIV/0!</v>
      </c>
      <c r="CB3" s="21"/>
      <c r="CC3" s="22">
        <f>CB3-BY3</f>
        <v>0</v>
      </c>
      <c r="CD3" s="23">
        <f>CC3*CD4</f>
        <v>0</v>
      </c>
    </row>
    <row r="4" spans="1:82" ht="30" customHeight="1">
      <c r="A4" s="33" t="s">
        <v>7</v>
      </c>
      <c r="B4" s="34">
        <f>[2]Реестр!H2</f>
        <v>123.4</v>
      </c>
      <c r="C4" s="20" t="s">
        <v>10</v>
      </c>
      <c r="D4" s="24"/>
      <c r="E4" s="24"/>
      <c r="F4" s="24"/>
      <c r="G4" s="25">
        <f>'[1]0. ГИРА'!G4</f>
        <v>6</v>
      </c>
      <c r="H4" s="24"/>
      <c r="I4" s="24"/>
      <c r="J4" s="25">
        <f>'[1]0. ГИРА'!J4</f>
        <v>6</v>
      </c>
      <c r="K4" s="24"/>
      <c r="L4" s="24"/>
      <c r="M4" s="25">
        <f>'[1]0. ГИРА'!M4</f>
        <v>6</v>
      </c>
      <c r="N4" s="24"/>
      <c r="O4" s="24"/>
      <c r="P4" s="25">
        <f>'[1]0. ГИРА'!P4</f>
        <v>0</v>
      </c>
      <c r="Q4" s="24"/>
      <c r="R4" s="24"/>
      <c r="S4" s="25" t="e">
        <f>'[1]0. ГИРА'!S4</f>
        <v>#DIV/0!</v>
      </c>
      <c r="T4" s="24"/>
      <c r="U4" s="24"/>
      <c r="V4" s="25" t="e">
        <f>'[1]0. ГИРА'!V4</f>
        <v>#DIV/0!</v>
      </c>
      <c r="W4" s="24"/>
      <c r="X4" s="24"/>
      <c r="Y4" s="25" t="e">
        <f>'[1]0. ГИРА'!Y4</f>
        <v>#DIV/0!</v>
      </c>
      <c r="Z4" s="24"/>
      <c r="AA4" s="24"/>
      <c r="AB4" s="25" t="e">
        <f>'[1]0. ГИРА'!AB4</f>
        <v>#DIV/0!</v>
      </c>
      <c r="AC4" s="24"/>
      <c r="AD4" s="24"/>
      <c r="AE4" s="25" t="e">
        <f>'[1]0. ГИРА'!AE4</f>
        <v>#DIV/0!</v>
      </c>
      <c r="AF4" s="24"/>
      <c r="AG4" s="24"/>
      <c r="AH4" s="25" t="e">
        <f>'[1]0. ГИРА'!AH4</f>
        <v>#DIV/0!</v>
      </c>
      <c r="AI4" s="24"/>
      <c r="AJ4" s="24"/>
      <c r="AK4" s="25" t="e">
        <f>'[1]0. ГИРА'!AK4</f>
        <v>#DIV/0!</v>
      </c>
      <c r="AL4" s="24"/>
      <c r="AM4" s="24"/>
      <c r="AN4" s="25" t="e">
        <f>'[1]0. ГИРА'!AN4</f>
        <v>#DIV/0!</v>
      </c>
      <c r="AO4" s="24"/>
      <c r="AP4" s="24"/>
      <c r="AQ4" s="25" t="e">
        <f>'[1]0. ГИРА'!AQ4</f>
        <v>#DIV/0!</v>
      </c>
      <c r="AR4" s="24"/>
      <c r="AS4" s="24"/>
      <c r="AT4" s="25" t="e">
        <f>'[1]0. ГИРА'!AT4</f>
        <v>#DIV/0!</v>
      </c>
      <c r="AU4" s="24"/>
      <c r="AV4" s="24"/>
      <c r="AW4" s="25" t="e">
        <f>'[1]0. ГИРА'!AW4</f>
        <v>#DIV/0!</v>
      </c>
      <c r="AX4" s="24"/>
      <c r="AY4" s="24"/>
      <c r="AZ4" s="25" t="e">
        <f>'[1]0. ГИРА'!AZ4</f>
        <v>#DIV/0!</v>
      </c>
      <c r="BA4" s="24"/>
      <c r="BB4" s="24"/>
      <c r="BC4" s="25" t="e">
        <f>'[1]0. ГИРА'!BC4</f>
        <v>#DIV/0!</v>
      </c>
      <c r="BD4" s="24"/>
      <c r="BE4" s="24"/>
      <c r="BF4" s="25" t="e">
        <f>'[1]0. ГИРА'!BF4</f>
        <v>#DIV/0!</v>
      </c>
      <c r="BG4" s="24"/>
      <c r="BH4" s="24"/>
      <c r="BI4" s="25" t="e">
        <f>'[1]0. ГИРА'!BI4</f>
        <v>#DIV/0!</v>
      </c>
      <c r="BJ4" s="24"/>
      <c r="BK4" s="24"/>
      <c r="BL4" s="25" t="e">
        <f>'[1]0. ГИРА'!BL4</f>
        <v>#DIV/0!</v>
      </c>
      <c r="BM4" s="24"/>
      <c r="BN4" s="24"/>
      <c r="BO4" s="25" t="e">
        <f>'[1]0. ГИРА'!BO4</f>
        <v>#DIV/0!</v>
      </c>
      <c r="BP4" s="24"/>
      <c r="BQ4" s="24"/>
      <c r="BR4" s="25" t="e">
        <f>'[1]0. ГИРА'!BR4</f>
        <v>#DIV/0!</v>
      </c>
      <c r="BS4" s="24"/>
      <c r="BT4" s="24"/>
      <c r="BU4" s="25" t="e">
        <f>'[1]0. ГИРА'!BU4</f>
        <v>#DIV/0!</v>
      </c>
      <c r="BV4" s="24"/>
      <c r="BW4" s="24"/>
      <c r="BX4" s="25" t="e">
        <f>'[1]0. ГИРА'!BX4</f>
        <v>#DIV/0!</v>
      </c>
      <c r="BY4" s="24"/>
      <c r="BZ4" s="24"/>
      <c r="CA4" s="25" t="e">
        <f>'[1]0. ГИРА'!CA4</f>
        <v>#DIV/0!</v>
      </c>
      <c r="CB4" s="24"/>
      <c r="CC4" s="24"/>
      <c r="CD4" s="25">
        <f>'[1]0. ГИРА'!CD4</f>
        <v>0</v>
      </c>
    </row>
    <row r="5" spans="1:82" ht="45" customHeight="1">
      <c r="C5" s="30" t="s">
        <v>12</v>
      </c>
      <c r="D5" s="21">
        <v>0</v>
      </c>
      <c r="E5" s="21">
        <v>0</v>
      </c>
      <c r="F5" s="22">
        <f>E5-D5</f>
        <v>0</v>
      </c>
      <c r="G5" s="23"/>
      <c r="H5" s="21">
        <v>0</v>
      </c>
      <c r="I5" s="22">
        <f>H5-E5</f>
        <v>0</v>
      </c>
      <c r="J5" s="23">
        <f>I5*J6</f>
        <v>0</v>
      </c>
      <c r="K5" s="21">
        <v>0</v>
      </c>
      <c r="L5" s="22">
        <f>K5-H5</f>
        <v>0</v>
      </c>
      <c r="M5" s="23">
        <f>L5*M6</f>
        <v>0</v>
      </c>
      <c r="N5" s="21"/>
      <c r="O5" s="22">
        <f>N5-K5</f>
        <v>0</v>
      </c>
      <c r="P5" s="23"/>
      <c r="Q5" s="21"/>
      <c r="R5" s="22">
        <f>Q5-N5</f>
        <v>0</v>
      </c>
      <c r="S5" s="23"/>
      <c r="T5" s="21"/>
      <c r="U5" s="22">
        <f>T5-Q5</f>
        <v>0</v>
      </c>
      <c r="V5" s="23"/>
      <c r="W5" s="21"/>
      <c r="X5" s="22">
        <f>W5-T5</f>
        <v>0</v>
      </c>
      <c r="Y5" s="23"/>
      <c r="Z5" s="21"/>
      <c r="AA5" s="22">
        <f>Z5-W5</f>
        <v>0</v>
      </c>
      <c r="AB5" s="23"/>
      <c r="AC5" s="21"/>
      <c r="AD5" s="22">
        <f>AC5-Z5</f>
        <v>0</v>
      </c>
      <c r="AE5" s="23"/>
      <c r="AF5" s="21"/>
      <c r="AG5" s="22">
        <f>AF5-AC5</f>
        <v>0</v>
      </c>
      <c r="AH5" s="23"/>
      <c r="AI5" s="21"/>
      <c r="AJ5" s="22">
        <f>AI5-AF5</f>
        <v>0</v>
      </c>
      <c r="AK5" s="23"/>
      <c r="AL5" s="21"/>
      <c r="AM5" s="22">
        <f>AL5-AI5</f>
        <v>0</v>
      </c>
      <c r="AN5" s="23"/>
      <c r="AO5" s="21"/>
      <c r="AP5" s="22">
        <f>AO5-AL5</f>
        <v>0</v>
      </c>
      <c r="AQ5" s="23"/>
      <c r="AR5" s="21"/>
      <c r="AS5" s="22">
        <f>AR5-AO5</f>
        <v>0</v>
      </c>
      <c r="AT5" s="23"/>
      <c r="AU5" s="21"/>
      <c r="AV5" s="22">
        <f>AU5-AR5</f>
        <v>0</v>
      </c>
      <c r="AW5" s="23"/>
      <c r="AX5" s="21"/>
      <c r="AY5" s="22">
        <f>AX5-AU5</f>
        <v>0</v>
      </c>
      <c r="AZ5" s="23"/>
      <c r="BA5" s="21"/>
      <c r="BB5" s="22">
        <f>BA5-AX5</f>
        <v>0</v>
      </c>
      <c r="BC5" s="23"/>
      <c r="BD5" s="21"/>
      <c r="BE5" s="22">
        <f>BD5-BA5</f>
        <v>0</v>
      </c>
      <c r="BF5" s="23"/>
      <c r="BG5" s="21"/>
      <c r="BH5" s="22">
        <f>BG5-BD5</f>
        <v>0</v>
      </c>
      <c r="BI5" s="23"/>
      <c r="BJ5" s="21"/>
      <c r="BK5" s="22">
        <f>BJ5-BG5</f>
        <v>0</v>
      </c>
      <c r="BL5" s="23"/>
      <c r="BM5" s="21"/>
      <c r="BN5" s="22">
        <f>BM5-BJ5</f>
        <v>0</v>
      </c>
      <c r="BO5" s="23"/>
      <c r="BP5" s="21"/>
      <c r="BQ5" s="22">
        <f>BP5-BM5</f>
        <v>0</v>
      </c>
      <c r="BR5" s="23"/>
      <c r="BS5" s="21"/>
      <c r="BT5" s="22">
        <f>BS5-BP5</f>
        <v>0</v>
      </c>
      <c r="BU5" s="23"/>
      <c r="BV5" s="21"/>
      <c r="BW5" s="22">
        <f>BV5-BS5</f>
        <v>0</v>
      </c>
      <c r="BX5" s="23"/>
      <c r="BY5" s="21"/>
      <c r="BZ5" s="22">
        <f>BY5-BV5</f>
        <v>0</v>
      </c>
      <c r="CA5" s="23"/>
      <c r="CB5" s="21"/>
      <c r="CC5" s="22">
        <f>CB5-BY5</f>
        <v>0</v>
      </c>
      <c r="CD5" s="23"/>
    </row>
    <row r="6" spans="1:82" ht="45" customHeight="1">
      <c r="A6" s="37" t="s">
        <v>26</v>
      </c>
      <c r="B6" s="34" t="str">
        <f>[1]Реестр!M2</f>
        <v xml:space="preserve">Альфия    </v>
      </c>
      <c r="C6" s="30" t="s">
        <v>13</v>
      </c>
      <c r="D6" s="24"/>
      <c r="E6" s="24"/>
      <c r="F6" s="24"/>
      <c r="G6" s="25">
        <f>'[1]0. ГИРА'!G6</f>
        <v>60</v>
      </c>
      <c r="H6" s="24"/>
      <c r="I6" s="24"/>
      <c r="J6" s="25">
        <f>'[1]0. ГИРА'!J6</f>
        <v>60</v>
      </c>
      <c r="K6" s="24"/>
      <c r="L6" s="24"/>
      <c r="M6" s="25">
        <f>'[1]0. ГИРА'!M6</f>
        <v>60</v>
      </c>
      <c r="N6" s="24"/>
      <c r="O6" s="24"/>
      <c r="P6" s="25">
        <f>'[1]0. ГИРА'!P6</f>
        <v>0</v>
      </c>
      <c r="Q6" s="24"/>
      <c r="R6" s="24"/>
      <c r="S6" s="25" t="e">
        <f>'[1]0. ГИРА'!S6</f>
        <v>#DIV/0!</v>
      </c>
      <c r="T6" s="24"/>
      <c r="U6" s="24"/>
      <c r="V6" s="25" t="e">
        <f>'[1]0. ГИРА'!V6</f>
        <v>#DIV/0!</v>
      </c>
      <c r="W6" s="24"/>
      <c r="X6" s="24"/>
      <c r="Y6" s="25" t="e">
        <f>'[1]0. ГИРА'!Y6</f>
        <v>#DIV/0!</v>
      </c>
      <c r="Z6" s="24"/>
      <c r="AA6" s="24"/>
      <c r="AB6" s="25" t="e">
        <f>'[1]0. ГИРА'!AB6</f>
        <v>#DIV/0!</v>
      </c>
      <c r="AC6" s="24"/>
      <c r="AD6" s="24"/>
      <c r="AE6" s="25" t="e">
        <f>'[1]0. ГИРА'!AE6</f>
        <v>#DIV/0!</v>
      </c>
      <c r="AF6" s="24"/>
      <c r="AG6" s="24"/>
      <c r="AH6" s="25" t="e">
        <f>'[1]0. ГИРА'!AH6</f>
        <v>#DIV/0!</v>
      </c>
      <c r="AI6" s="24"/>
      <c r="AJ6" s="24"/>
      <c r="AK6" s="25" t="e">
        <f>'[1]0. ГИРА'!AK6</f>
        <v>#DIV/0!</v>
      </c>
      <c r="AL6" s="24"/>
      <c r="AM6" s="24"/>
      <c r="AN6" s="25" t="e">
        <f>'[1]0. ГИРА'!AN6</f>
        <v>#DIV/0!</v>
      </c>
      <c r="AO6" s="24"/>
      <c r="AP6" s="24"/>
      <c r="AQ6" s="25" t="e">
        <f>'[1]0. ГИРА'!AQ6</f>
        <v>#DIV/0!</v>
      </c>
      <c r="AR6" s="24"/>
      <c r="AS6" s="24"/>
      <c r="AT6" s="25" t="e">
        <f>'[1]0. ГИРА'!AT6</f>
        <v>#DIV/0!</v>
      </c>
      <c r="AU6" s="24"/>
      <c r="AV6" s="24"/>
      <c r="AW6" s="25" t="e">
        <f>'[1]0. ГИРА'!AW6</f>
        <v>#DIV/0!</v>
      </c>
      <c r="AX6" s="24"/>
      <c r="AY6" s="24"/>
      <c r="AZ6" s="25" t="e">
        <f>'[1]0. ГИРА'!AZ6</f>
        <v>#DIV/0!</v>
      </c>
      <c r="BA6" s="24"/>
      <c r="BB6" s="24"/>
      <c r="BC6" s="25" t="e">
        <f>'[1]0. ГИРА'!BC6</f>
        <v>#DIV/0!</v>
      </c>
      <c r="BD6" s="24"/>
      <c r="BE6" s="24"/>
      <c r="BF6" s="25" t="e">
        <f>'[1]0. ГИРА'!BF6</f>
        <v>#DIV/0!</v>
      </c>
      <c r="BG6" s="24"/>
      <c r="BH6" s="24"/>
      <c r="BI6" s="25" t="e">
        <f>'[1]0. ГИРА'!BI6</f>
        <v>#DIV/0!</v>
      </c>
      <c r="BJ6" s="24"/>
      <c r="BK6" s="24"/>
      <c r="BL6" s="25" t="e">
        <f>'[1]0. ГИРА'!BL6</f>
        <v>#DIV/0!</v>
      </c>
      <c r="BM6" s="24"/>
      <c r="BN6" s="24"/>
      <c r="BO6" s="25" t="e">
        <f>'[1]0. ГИРА'!BO6</f>
        <v>#DIV/0!</v>
      </c>
      <c r="BP6" s="24"/>
      <c r="BQ6" s="24"/>
      <c r="BR6" s="25" t="e">
        <f>'[1]0. ГИРА'!BR6</f>
        <v>#DIV/0!</v>
      </c>
      <c r="BS6" s="24"/>
      <c r="BT6" s="24"/>
      <c r="BU6" s="25" t="e">
        <f>'[1]0. ГИРА'!BU6</f>
        <v>#DIV/0!</v>
      </c>
      <c r="BV6" s="24"/>
      <c r="BW6" s="24"/>
      <c r="BX6" s="25" t="e">
        <f>'[1]0. ГИРА'!BX6</f>
        <v>#DIV/0!</v>
      </c>
      <c r="BY6" s="24"/>
      <c r="BZ6" s="24"/>
      <c r="CA6" s="25" t="e">
        <f>'[1]0. ГИРА'!CA6</f>
        <v>#DIV/0!</v>
      </c>
      <c r="CB6" s="24"/>
      <c r="CC6" s="24"/>
      <c r="CD6" s="25">
        <f>'[1]0. ГИРА'!CD6</f>
        <v>0</v>
      </c>
    </row>
    <row r="7" spans="1:82" ht="45" customHeight="1">
      <c r="A7" s="38" t="s">
        <v>27</v>
      </c>
      <c r="B7" s="33">
        <f>[1]Реестр!N2</f>
        <v>89503228511</v>
      </c>
      <c r="C7" s="30" t="s">
        <v>14</v>
      </c>
      <c r="D7" s="68">
        <v>0</v>
      </c>
      <c r="E7" s="68">
        <v>0</v>
      </c>
      <c r="F7" s="69">
        <f>E7-D7</f>
        <v>0</v>
      </c>
      <c r="G7" s="70">
        <f>G8*F7</f>
        <v>0</v>
      </c>
      <c r="H7" s="68">
        <v>0</v>
      </c>
      <c r="I7" s="22">
        <f>H7-E7</f>
        <v>0</v>
      </c>
      <c r="J7" s="70">
        <f>J8*I7</f>
        <v>0</v>
      </c>
      <c r="K7" s="68">
        <v>0</v>
      </c>
      <c r="L7" s="22">
        <f>K7-H7</f>
        <v>0</v>
      </c>
      <c r="M7" s="70">
        <f>M8*L7</f>
        <v>0</v>
      </c>
      <c r="N7" s="68"/>
      <c r="O7" s="22">
        <f>N7-K7</f>
        <v>0</v>
      </c>
      <c r="P7" s="70">
        <f>P8*O7</f>
        <v>0</v>
      </c>
      <c r="Q7" s="68"/>
      <c r="R7" s="22">
        <f>Q7-N7</f>
        <v>0</v>
      </c>
      <c r="S7" s="70" t="e">
        <f>S8*R7</f>
        <v>#DIV/0!</v>
      </c>
      <c r="T7" s="68"/>
      <c r="U7" s="22">
        <f>T7-Q7</f>
        <v>0</v>
      </c>
      <c r="V7" s="70" t="e">
        <f>V8*U7</f>
        <v>#DIV/0!</v>
      </c>
      <c r="W7" s="68"/>
      <c r="X7" s="22">
        <f>W7-T7</f>
        <v>0</v>
      </c>
      <c r="Y7" s="70" t="e">
        <f>Y8*X7</f>
        <v>#DIV/0!</v>
      </c>
      <c r="Z7" s="68"/>
      <c r="AA7" s="22">
        <f>Z7-W7</f>
        <v>0</v>
      </c>
      <c r="AB7" s="70" t="e">
        <f>AB8*AA7</f>
        <v>#DIV/0!</v>
      </c>
      <c r="AC7" s="68"/>
      <c r="AD7" s="22">
        <f>AC7-Z7</f>
        <v>0</v>
      </c>
      <c r="AE7" s="70" t="e">
        <f>AE8*AD7</f>
        <v>#DIV/0!</v>
      </c>
      <c r="AF7" s="68"/>
      <c r="AG7" s="22">
        <f>AF7-AC7</f>
        <v>0</v>
      </c>
      <c r="AH7" s="70" t="e">
        <f>AH8*AG7</f>
        <v>#DIV/0!</v>
      </c>
      <c r="AI7" s="68"/>
      <c r="AJ7" s="22">
        <f>AI7-AF7</f>
        <v>0</v>
      </c>
      <c r="AK7" s="70" t="e">
        <f>AK8*AJ7</f>
        <v>#DIV/0!</v>
      </c>
      <c r="AL7" s="68"/>
      <c r="AM7" s="22">
        <f>AL7-AI7</f>
        <v>0</v>
      </c>
      <c r="AN7" s="70" t="e">
        <f>AN8*AM7</f>
        <v>#DIV/0!</v>
      </c>
      <c r="AO7" s="68"/>
      <c r="AP7" s="22">
        <f>AO7-AL7</f>
        <v>0</v>
      </c>
      <c r="AQ7" s="70" t="e">
        <f>AQ8*AP7</f>
        <v>#DIV/0!</v>
      </c>
      <c r="AR7" s="68"/>
      <c r="AS7" s="22">
        <f>AR7-AO7</f>
        <v>0</v>
      </c>
      <c r="AT7" s="70" t="e">
        <f>AT8*AS7</f>
        <v>#DIV/0!</v>
      </c>
      <c r="AU7" s="68"/>
      <c r="AV7" s="22">
        <f>AU7-AR7</f>
        <v>0</v>
      </c>
      <c r="AW7" s="70" t="e">
        <f>AW8*AV7</f>
        <v>#DIV/0!</v>
      </c>
      <c r="AX7" s="68"/>
      <c r="AY7" s="22">
        <f>AX7-AU7</f>
        <v>0</v>
      </c>
      <c r="AZ7" s="70" t="e">
        <f>AZ8*AY7</f>
        <v>#DIV/0!</v>
      </c>
      <c r="BA7" s="68"/>
      <c r="BB7" s="22">
        <f>BA7-AX7</f>
        <v>0</v>
      </c>
      <c r="BC7" s="70" t="e">
        <f>BC8*BB7</f>
        <v>#DIV/0!</v>
      </c>
      <c r="BD7" s="68"/>
      <c r="BE7" s="22">
        <f>BD7-BA7</f>
        <v>0</v>
      </c>
      <c r="BF7" s="70" t="e">
        <f>BF8*BE7</f>
        <v>#DIV/0!</v>
      </c>
      <c r="BG7" s="68"/>
      <c r="BH7" s="22">
        <f>BG7-BD7</f>
        <v>0</v>
      </c>
      <c r="BI7" s="70" t="e">
        <f>BI8*BH7</f>
        <v>#DIV/0!</v>
      </c>
      <c r="BJ7" s="68"/>
      <c r="BK7" s="22">
        <f>BJ7-BG7</f>
        <v>0</v>
      </c>
      <c r="BL7" s="70" t="e">
        <f>BL8*BK7</f>
        <v>#DIV/0!</v>
      </c>
      <c r="BM7" s="68"/>
      <c r="BN7" s="22">
        <f>BM7-BJ7</f>
        <v>0</v>
      </c>
      <c r="BO7" s="70" t="e">
        <f>BO8*BN7</f>
        <v>#DIV/0!</v>
      </c>
      <c r="BP7" s="68"/>
      <c r="BQ7" s="22">
        <f>BP7-BM7</f>
        <v>0</v>
      </c>
      <c r="BR7" s="70" t="e">
        <f>BR8*BQ7</f>
        <v>#DIV/0!</v>
      </c>
      <c r="BS7" s="68"/>
      <c r="BT7" s="22">
        <f>BS7-BP7</f>
        <v>0</v>
      </c>
      <c r="BU7" s="70" t="e">
        <f>BU8*BT7</f>
        <v>#DIV/0!</v>
      </c>
      <c r="BV7" s="68"/>
      <c r="BW7" s="22">
        <f>BV7-BS7</f>
        <v>0</v>
      </c>
      <c r="BX7" s="70" t="e">
        <f>BX8*BW7</f>
        <v>#DIV/0!</v>
      </c>
      <c r="BY7" s="68"/>
      <c r="BZ7" s="22">
        <f>BY7-BV7</f>
        <v>0</v>
      </c>
      <c r="CA7" s="70" t="e">
        <f>CA8*BZ7</f>
        <v>#DIV/0!</v>
      </c>
      <c r="CB7" s="68"/>
      <c r="CC7" s="22">
        <f>CB7-BY7</f>
        <v>0</v>
      </c>
      <c r="CD7" s="70">
        <f>CD8*CC7</f>
        <v>0</v>
      </c>
    </row>
    <row r="8" spans="1:82" ht="45" customHeight="1">
      <c r="A8" s="37" t="s">
        <v>29</v>
      </c>
      <c r="B8" s="33" t="str">
        <f>[1]Реестр!O2</f>
        <v>Карина</v>
      </c>
      <c r="C8" s="30" t="s">
        <v>15</v>
      </c>
      <c r="D8" s="71"/>
      <c r="E8" s="71"/>
      <c r="F8" s="71"/>
      <c r="G8" s="72">
        <f>'[1]0. ГИРА'!G8</f>
        <v>300</v>
      </c>
      <c r="H8" s="71"/>
      <c r="I8" s="71"/>
      <c r="J8" s="72">
        <f>'[1]0. ГИРА'!J8</f>
        <v>300</v>
      </c>
      <c r="K8" s="71"/>
      <c r="L8" s="71"/>
      <c r="M8" s="72">
        <f>'[1]0. ГИРА'!M8</f>
        <v>300</v>
      </c>
      <c r="N8" s="71"/>
      <c r="O8" s="71"/>
      <c r="P8" s="72">
        <f>'[1]0. ГИРА'!P8</f>
        <v>0</v>
      </c>
      <c r="Q8" s="71"/>
      <c r="R8" s="71"/>
      <c r="S8" s="72" t="e">
        <f>'[1]0. ГИРА'!S8</f>
        <v>#DIV/0!</v>
      </c>
      <c r="T8" s="71"/>
      <c r="U8" s="71"/>
      <c r="V8" s="72" t="e">
        <f>'[1]0. ГИРА'!V8</f>
        <v>#DIV/0!</v>
      </c>
      <c r="W8" s="71"/>
      <c r="X8" s="71"/>
      <c r="Y8" s="72" t="e">
        <f>'[1]0. ГИРА'!Y8</f>
        <v>#DIV/0!</v>
      </c>
      <c r="Z8" s="71"/>
      <c r="AA8" s="71"/>
      <c r="AB8" s="72" t="e">
        <f>'[1]0. ГИРА'!AB8</f>
        <v>#DIV/0!</v>
      </c>
      <c r="AC8" s="71"/>
      <c r="AD8" s="71"/>
      <c r="AE8" s="72" t="e">
        <f>'[1]0. ГИРА'!AE8</f>
        <v>#DIV/0!</v>
      </c>
      <c r="AF8" s="71"/>
      <c r="AG8" s="71"/>
      <c r="AH8" s="72" t="e">
        <f>'[1]0. ГИРА'!AH8</f>
        <v>#DIV/0!</v>
      </c>
      <c r="AI8" s="71"/>
      <c r="AJ8" s="71"/>
      <c r="AK8" s="72" t="e">
        <f>'[1]0. ГИРА'!AK8</f>
        <v>#DIV/0!</v>
      </c>
      <c r="AL8" s="71"/>
      <c r="AM8" s="71"/>
      <c r="AN8" s="72" t="e">
        <f>'[1]0. ГИРА'!AN8</f>
        <v>#DIV/0!</v>
      </c>
      <c r="AO8" s="71"/>
      <c r="AP8" s="71"/>
      <c r="AQ8" s="72" t="e">
        <f>'[1]0. ГИРА'!AQ8</f>
        <v>#DIV/0!</v>
      </c>
      <c r="AR8" s="71"/>
      <c r="AS8" s="71"/>
      <c r="AT8" s="72" t="e">
        <f>'[1]0. ГИРА'!AT8</f>
        <v>#DIV/0!</v>
      </c>
      <c r="AU8" s="71"/>
      <c r="AV8" s="71"/>
      <c r="AW8" s="72" t="e">
        <f>'[1]0. ГИРА'!AW8</f>
        <v>#DIV/0!</v>
      </c>
      <c r="AX8" s="71"/>
      <c r="AY8" s="71"/>
      <c r="AZ8" s="72" t="e">
        <f>'[1]0. ГИРА'!AZ8</f>
        <v>#DIV/0!</v>
      </c>
      <c r="BA8" s="71"/>
      <c r="BB8" s="71"/>
      <c r="BC8" s="72" t="e">
        <f>'[1]0. ГИРА'!BC8</f>
        <v>#DIV/0!</v>
      </c>
      <c r="BD8" s="71"/>
      <c r="BE8" s="71"/>
      <c r="BF8" s="72" t="e">
        <f>'[1]0. ГИРА'!BF8</f>
        <v>#DIV/0!</v>
      </c>
      <c r="BG8" s="71"/>
      <c r="BH8" s="71"/>
      <c r="BI8" s="72" t="e">
        <f>'[1]0. ГИРА'!BI8</f>
        <v>#DIV/0!</v>
      </c>
      <c r="BJ8" s="71"/>
      <c r="BK8" s="71"/>
      <c r="BL8" s="72" t="e">
        <f>'[1]0. ГИРА'!BL8</f>
        <v>#DIV/0!</v>
      </c>
      <c r="BM8" s="71"/>
      <c r="BN8" s="71"/>
      <c r="BO8" s="72" t="e">
        <f>'[1]0. ГИРА'!BO8</f>
        <v>#DIV/0!</v>
      </c>
      <c r="BP8" s="71"/>
      <c r="BQ8" s="71"/>
      <c r="BR8" s="72" t="e">
        <f>'[1]0. ГИРА'!BR8</f>
        <v>#DIV/0!</v>
      </c>
      <c r="BS8" s="71"/>
      <c r="BT8" s="71"/>
      <c r="BU8" s="72" t="e">
        <f>'[1]0. ГИРА'!BU8</f>
        <v>#DIV/0!</v>
      </c>
      <c r="BV8" s="71"/>
      <c r="BW8" s="71"/>
      <c r="BX8" s="72" t="e">
        <f>'[1]0. ГИРА'!BX8</f>
        <v>#DIV/0!</v>
      </c>
      <c r="BY8" s="71"/>
      <c r="BZ8" s="71"/>
      <c r="CA8" s="72" t="e">
        <f>'[1]0. ГИРА'!CA8</f>
        <v>#DIV/0!</v>
      </c>
      <c r="CB8" s="71"/>
      <c r="CC8" s="71"/>
      <c r="CD8" s="72">
        <f>'[1]0. ГИРА'!CD8</f>
        <v>0</v>
      </c>
    </row>
    <row r="9" spans="1:82" ht="14.1" customHeight="1">
      <c r="A9" s="38" t="s">
        <v>30</v>
      </c>
      <c r="B9" s="34">
        <f>[1]Реестр!P2</f>
        <v>89372840305</v>
      </c>
      <c r="C9" s="20" t="s">
        <v>16</v>
      </c>
      <c r="D9" s="21"/>
      <c r="E9" s="21"/>
      <c r="F9" s="22">
        <f>E9-D9</f>
        <v>0</v>
      </c>
      <c r="G9" s="23">
        <f>G10*B4</f>
        <v>22150.989845112323</v>
      </c>
      <c r="H9" s="21"/>
      <c r="I9" s="22">
        <f>H9-E9</f>
        <v>0</v>
      </c>
      <c r="J9" s="23">
        <f>J10*E3</f>
        <v>0</v>
      </c>
      <c r="K9" s="21"/>
      <c r="L9" s="22">
        <f>K9-H9</f>
        <v>0</v>
      </c>
      <c r="M9" s="23">
        <f>M10*$B4</f>
        <v>22150.989845112323</v>
      </c>
      <c r="N9" s="21"/>
      <c r="O9" s="22">
        <f>N9-K9</f>
        <v>0</v>
      </c>
      <c r="P9" s="23">
        <f>P10*K3</f>
        <v>0</v>
      </c>
      <c r="Q9" s="21"/>
      <c r="R9" s="22">
        <f>Q9-N9</f>
        <v>0</v>
      </c>
      <c r="S9" s="23">
        <f>S10*N3</f>
        <v>0</v>
      </c>
      <c r="T9" s="21"/>
      <c r="U9" s="22">
        <f>T9-Q9</f>
        <v>0</v>
      </c>
      <c r="V9" s="23">
        <f>V10*Q3</f>
        <v>0</v>
      </c>
      <c r="W9" s="21"/>
      <c r="X9" s="22">
        <f>W9-T9</f>
        <v>0</v>
      </c>
      <c r="Y9" s="23">
        <f>Y10*T3</f>
        <v>0</v>
      </c>
      <c r="Z9" s="21"/>
      <c r="AA9" s="22">
        <f>Z9-W9</f>
        <v>0</v>
      </c>
      <c r="AB9" s="23">
        <f>AB10*W3</f>
        <v>0</v>
      </c>
      <c r="AC9" s="21"/>
      <c r="AD9" s="22">
        <f>AC9-Z9</f>
        <v>0</v>
      </c>
      <c r="AE9" s="23">
        <f>AE10*Z3</f>
        <v>0</v>
      </c>
      <c r="AF9" s="21"/>
      <c r="AG9" s="22">
        <f>AF9-AC9</f>
        <v>0</v>
      </c>
      <c r="AH9" s="23">
        <f>AH10*AC3</f>
        <v>0</v>
      </c>
      <c r="AI9" s="21"/>
      <c r="AJ9" s="22">
        <f>AI9-AF9</f>
        <v>0</v>
      </c>
      <c r="AK9" s="23">
        <f>AK10*AF3</f>
        <v>0</v>
      </c>
      <c r="AL9" s="21"/>
      <c r="AM9" s="22">
        <f>AL9-AI9</f>
        <v>0</v>
      </c>
      <c r="AN9" s="23">
        <f>AN10*AI3</f>
        <v>0</v>
      </c>
      <c r="AO9" s="21"/>
      <c r="AP9" s="22">
        <f>AO9-AL9</f>
        <v>0</v>
      </c>
      <c r="AQ9" s="23">
        <f>AQ10*AL3</f>
        <v>0</v>
      </c>
      <c r="AR9" s="21"/>
      <c r="AS9" s="22">
        <f>AR9-AO9</f>
        <v>0</v>
      </c>
      <c r="AT9" s="23">
        <f>AT10*AO3</f>
        <v>0</v>
      </c>
      <c r="AU9" s="21"/>
      <c r="AV9" s="22">
        <f>AU9-AR9</f>
        <v>0</v>
      </c>
      <c r="AW9" s="23">
        <f>AW10*AR3</f>
        <v>0</v>
      </c>
      <c r="AX9" s="21"/>
      <c r="AY9" s="22">
        <f>AX9-AU9</f>
        <v>0</v>
      </c>
      <c r="AZ9" s="23">
        <f>AZ10*AU3</f>
        <v>0</v>
      </c>
      <c r="BA9" s="21"/>
      <c r="BB9" s="22">
        <f>BA9-AX9</f>
        <v>0</v>
      </c>
      <c r="BC9" s="23">
        <f>BC10*AX3</f>
        <v>0</v>
      </c>
      <c r="BD9" s="21"/>
      <c r="BE9" s="22">
        <f>BD9-BA9</f>
        <v>0</v>
      </c>
      <c r="BF9" s="23">
        <f>BF10*BA3</f>
        <v>0</v>
      </c>
      <c r="BG9" s="21"/>
      <c r="BH9" s="22">
        <f>BG9-BD9</f>
        <v>0</v>
      </c>
      <c r="BI9" s="23">
        <f>BI10*BD3</f>
        <v>0</v>
      </c>
      <c r="BJ9" s="21"/>
      <c r="BK9" s="22">
        <f>BJ9-BG9</f>
        <v>0</v>
      </c>
      <c r="BL9" s="23">
        <f>BL10*BG3</f>
        <v>0</v>
      </c>
      <c r="BM9" s="21"/>
      <c r="BN9" s="22">
        <f>BM9-BJ9</f>
        <v>0</v>
      </c>
      <c r="BO9" s="23">
        <f>BO10*BJ3</f>
        <v>0</v>
      </c>
      <c r="BP9" s="21"/>
      <c r="BQ9" s="22">
        <f>BP9-BM9</f>
        <v>0</v>
      </c>
      <c r="BR9" s="23">
        <f>BR10*BM3</f>
        <v>0</v>
      </c>
      <c r="BS9" s="21"/>
      <c r="BT9" s="22">
        <f>BS9-BP9</f>
        <v>0</v>
      </c>
      <c r="BU9" s="23">
        <f>BU10*BP3</f>
        <v>0</v>
      </c>
      <c r="BV9" s="21"/>
      <c r="BW9" s="22">
        <f>BV9-BS9</f>
        <v>0</v>
      </c>
      <c r="BX9" s="23">
        <f>BX10*BS3</f>
        <v>0</v>
      </c>
      <c r="BY9" s="21"/>
      <c r="BZ9" s="22">
        <f>BY9-BV9</f>
        <v>0</v>
      </c>
      <c r="CA9" s="23">
        <f>CA10*BV3</f>
        <v>0</v>
      </c>
      <c r="CB9" s="21"/>
      <c r="CC9" s="22">
        <f>CB9-BY9</f>
        <v>0</v>
      </c>
      <c r="CD9" s="23">
        <f>CD10*BY3</f>
        <v>0</v>
      </c>
    </row>
    <row r="10" spans="1:82" ht="30" customHeight="1">
      <c r="C10" s="20" t="s">
        <v>17</v>
      </c>
      <c r="D10" s="24"/>
      <c r="E10" s="24"/>
      <c r="F10" s="24"/>
      <c r="G10" s="25">
        <f>'[1]0. ГИРА'!G10</f>
        <v>179.50559031695562</v>
      </c>
      <c r="H10" s="24"/>
      <c r="I10" s="24"/>
      <c r="J10" s="25">
        <f>'[1]0. ГИРА'!J10</f>
        <v>215.40670838034677</v>
      </c>
      <c r="K10" s="24"/>
      <c r="L10" s="24"/>
      <c r="M10" s="25">
        <f>'[1]0. ГИРА'!M10</f>
        <v>179.50559031695562</v>
      </c>
      <c r="N10" s="24"/>
      <c r="O10" s="24"/>
      <c r="P10" s="25">
        <f>'[1]0. ГИРА'!P10</f>
        <v>0</v>
      </c>
      <c r="Q10" s="24"/>
      <c r="R10" s="24"/>
      <c r="S10" s="25">
        <f>'[1]0. ГИРА'!S10</f>
        <v>0</v>
      </c>
      <c r="T10" s="24"/>
      <c r="U10" s="24"/>
      <c r="V10" s="25">
        <f>'[1]0. ГИРА'!V10</f>
        <v>0</v>
      </c>
      <c r="W10" s="24"/>
      <c r="X10" s="24"/>
      <c r="Y10" s="25">
        <f>'[1]0. ГИРА'!Y10</f>
        <v>0</v>
      </c>
      <c r="Z10" s="24"/>
      <c r="AA10" s="24"/>
      <c r="AB10" s="25">
        <f>'[1]0. ГИРА'!AB10</f>
        <v>0</v>
      </c>
      <c r="AC10" s="24"/>
      <c r="AD10" s="24"/>
      <c r="AE10" s="25">
        <f>'[1]0. ГИРА'!AE10</f>
        <v>0</v>
      </c>
      <c r="AF10" s="24"/>
      <c r="AG10" s="24"/>
      <c r="AH10" s="25">
        <f>'[1]0. ГИРА'!AH10</f>
        <v>0</v>
      </c>
      <c r="AI10" s="24"/>
      <c r="AJ10" s="24"/>
      <c r="AK10" s="25">
        <f>'[1]0. ГИРА'!AK10</f>
        <v>0</v>
      </c>
      <c r="AL10" s="24"/>
      <c r="AM10" s="24"/>
      <c r="AN10" s="25">
        <f>'[1]0. ГИРА'!AN10</f>
        <v>0</v>
      </c>
      <c r="AO10" s="24"/>
      <c r="AP10" s="24"/>
      <c r="AQ10" s="25">
        <f>'[1]0. ГИРА'!AQ10</f>
        <v>0</v>
      </c>
      <c r="AR10" s="24"/>
      <c r="AS10" s="24"/>
      <c r="AT10" s="25">
        <f>'[1]0. ГИРА'!AT10</f>
        <v>0</v>
      </c>
      <c r="AU10" s="24"/>
      <c r="AV10" s="24"/>
      <c r="AW10" s="25">
        <f>'[1]0. ГИРА'!AW10</f>
        <v>0</v>
      </c>
      <c r="AX10" s="24"/>
      <c r="AY10" s="24"/>
      <c r="AZ10" s="25">
        <f>'[1]0. ГИРА'!AZ10</f>
        <v>0</v>
      </c>
      <c r="BA10" s="24"/>
      <c r="BB10" s="24"/>
      <c r="BC10" s="25">
        <f>'[1]0. ГИРА'!BC10</f>
        <v>0</v>
      </c>
      <c r="BD10" s="24"/>
      <c r="BE10" s="24"/>
      <c r="BF10" s="25">
        <f>'[1]0. ГИРА'!BF10</f>
        <v>0</v>
      </c>
      <c r="BG10" s="24"/>
      <c r="BH10" s="24"/>
      <c r="BI10" s="25">
        <f>'[1]0. ГИРА'!BI10</f>
        <v>0</v>
      </c>
      <c r="BJ10" s="24"/>
      <c r="BK10" s="24"/>
      <c r="BL10" s="25">
        <f>'[1]0. ГИРА'!BL10</f>
        <v>0</v>
      </c>
      <c r="BM10" s="24"/>
      <c r="BN10" s="24"/>
      <c r="BO10" s="25">
        <f>'[1]0. ГИРА'!BO10</f>
        <v>0</v>
      </c>
      <c r="BP10" s="24"/>
      <c r="BQ10" s="24"/>
      <c r="BR10" s="25">
        <f>'[1]0. ГИРА'!BR10</f>
        <v>0</v>
      </c>
      <c r="BS10" s="24"/>
      <c r="BT10" s="24"/>
      <c r="BU10" s="25">
        <f>'[1]0. ГИРА'!BU10</f>
        <v>4.3081341676069349E-2</v>
      </c>
      <c r="BV10" s="24"/>
      <c r="BW10" s="24"/>
      <c r="BX10" s="25">
        <f>'[1]0. ГИРА'!BX10</f>
        <v>4.5132834136834561E-2</v>
      </c>
      <c r="BY10" s="24"/>
      <c r="BZ10" s="24"/>
      <c r="CA10" s="25">
        <f>'[1]0. ГИРА'!CA10</f>
        <v>4.7184326597599767E-2</v>
      </c>
      <c r="CB10" s="24"/>
      <c r="CC10" s="24"/>
      <c r="CD10" s="25">
        <f>'[1]0. ГИРА'!CD10</f>
        <v>0</v>
      </c>
    </row>
    <row r="11" spans="1:82">
      <c r="A11" s="67" t="s">
        <v>31</v>
      </c>
      <c r="C11" s="26" t="s">
        <v>18</v>
      </c>
      <c r="D11" s="21"/>
      <c r="E11" s="21"/>
      <c r="F11" s="22">
        <f>E11-D11</f>
        <v>0</v>
      </c>
      <c r="G11" s="23">
        <f>'[1]0. ГИРА'!G12</f>
        <v>174.37685916504262</v>
      </c>
      <c r="H11" s="21"/>
      <c r="I11" s="22">
        <f>H11-G11</f>
        <v>-174.37685916504262</v>
      </c>
      <c r="J11" s="23">
        <f>'[1]0. ГИРА'!J12</f>
        <v>174.37685916504262</v>
      </c>
      <c r="K11" s="21"/>
      <c r="L11" s="22">
        <f>K11-J11</f>
        <v>-174.37685916504262</v>
      </c>
      <c r="M11" s="23">
        <f>'[1]0. ГИРА'!M12</f>
        <v>164.11939686121659</v>
      </c>
      <c r="N11" s="21"/>
      <c r="O11" s="22">
        <f>N11-M11</f>
        <v>-164.11939686121659</v>
      </c>
      <c r="P11" s="23">
        <f>'[1]0. ГИРА'!P12</f>
        <v>0</v>
      </c>
      <c r="Q11" s="21"/>
      <c r="R11" s="22">
        <f>Q11-P11</f>
        <v>0</v>
      </c>
      <c r="S11" s="23">
        <f>'[1]0. ГИРА'!S12</f>
        <v>0</v>
      </c>
      <c r="T11" s="21"/>
      <c r="U11" s="22">
        <f>T11-S11</f>
        <v>0</v>
      </c>
      <c r="V11" s="23">
        <f>'[1]0. ГИРА'!V12</f>
        <v>0</v>
      </c>
      <c r="W11" s="21"/>
      <c r="X11" s="22">
        <f>W11-T11</f>
        <v>0</v>
      </c>
      <c r="Y11" s="23">
        <f>Y12*T3</f>
        <v>0</v>
      </c>
      <c r="Z11" s="21"/>
      <c r="AA11" s="22">
        <f>Z11-W11</f>
        <v>0</v>
      </c>
      <c r="AB11" s="23">
        <f>AB12*W3</f>
        <v>0</v>
      </c>
      <c r="AC11" s="21"/>
      <c r="AD11" s="22">
        <f>AC11-Z11</f>
        <v>0</v>
      </c>
      <c r="AE11" s="23">
        <f>AE12*Z3</f>
        <v>0</v>
      </c>
      <c r="AF11" s="21"/>
      <c r="AG11" s="22">
        <f>AF11-AC11</f>
        <v>0</v>
      </c>
      <c r="AH11" s="23">
        <f>AH12*AC3</f>
        <v>0</v>
      </c>
      <c r="AI11" s="21"/>
      <c r="AJ11" s="22">
        <f>AI11-AF11</f>
        <v>0</v>
      </c>
      <c r="AK11" s="23">
        <f>AK12*AF3</f>
        <v>0</v>
      </c>
      <c r="AL11" s="21"/>
      <c r="AM11" s="22">
        <f>AL11-AI11</f>
        <v>0</v>
      </c>
      <c r="AN11" s="23">
        <f>AN12*AI3</f>
        <v>0</v>
      </c>
      <c r="AO11" s="21"/>
      <c r="AP11" s="22">
        <f>AO11-AL11</f>
        <v>0</v>
      </c>
      <c r="AQ11" s="23">
        <f>AQ12*AL3</f>
        <v>0</v>
      </c>
      <c r="AR11" s="21"/>
      <c r="AS11" s="22">
        <f>AR11-AO11</f>
        <v>0</v>
      </c>
      <c r="AT11" s="23">
        <f>AT12*AO3</f>
        <v>0</v>
      </c>
      <c r="AU11" s="21"/>
      <c r="AV11" s="22">
        <f>AU11-AR11</f>
        <v>0</v>
      </c>
      <c r="AW11" s="23">
        <f>AW12*AR3</f>
        <v>0</v>
      </c>
      <c r="AX11" s="21"/>
      <c r="AY11" s="22">
        <f>AX11-AU11</f>
        <v>0</v>
      </c>
      <c r="AZ11" s="23">
        <f>AZ12*AU3</f>
        <v>0</v>
      </c>
      <c r="BA11" s="21"/>
      <c r="BB11" s="22">
        <f>BA11-AX11</f>
        <v>0</v>
      </c>
      <c r="BC11" s="23">
        <f>BC12*AX3</f>
        <v>0</v>
      </c>
      <c r="BD11" s="21"/>
      <c r="BE11" s="22">
        <f>BD11-BA11</f>
        <v>0</v>
      </c>
      <c r="BF11" s="23">
        <f>BF12*BA3</f>
        <v>0</v>
      </c>
      <c r="BG11" s="21"/>
      <c r="BH11" s="22">
        <f>BG11-BD11</f>
        <v>0</v>
      </c>
      <c r="BI11" s="23">
        <f>BI12*BD3</f>
        <v>0</v>
      </c>
      <c r="BJ11" s="21"/>
      <c r="BK11" s="22">
        <f>BJ11-BG11</f>
        <v>0</v>
      </c>
      <c r="BL11" s="23">
        <f>BL12*BG3</f>
        <v>0</v>
      </c>
      <c r="BM11" s="21"/>
      <c r="BN11" s="22">
        <f>BM11-BJ11</f>
        <v>0</v>
      </c>
      <c r="BO11" s="23">
        <f>BO12*BJ3</f>
        <v>0</v>
      </c>
      <c r="BP11" s="21"/>
      <c r="BQ11" s="22">
        <f>BP11-BM11</f>
        <v>0</v>
      </c>
      <c r="BR11" s="23">
        <f>BR12*BM3</f>
        <v>0</v>
      </c>
      <c r="BS11" s="21"/>
      <c r="BT11" s="22">
        <f>BS11-BP11</f>
        <v>0</v>
      </c>
      <c r="BU11" s="23">
        <f>BU12*BP3</f>
        <v>0</v>
      </c>
      <c r="BV11" s="21"/>
      <c r="BW11" s="22">
        <f>BV11-BS11</f>
        <v>0</v>
      </c>
      <c r="BX11" s="23">
        <f>BX12*BS3</f>
        <v>0</v>
      </c>
      <c r="BY11" s="21"/>
      <c r="BZ11" s="22">
        <f>BY11-BV11</f>
        <v>0</v>
      </c>
      <c r="CA11" s="23">
        <f>CA12*BV3</f>
        <v>0</v>
      </c>
      <c r="CB11" s="21"/>
      <c r="CC11" s="22">
        <f>CB11-BY11</f>
        <v>0</v>
      </c>
      <c r="CD11" s="23">
        <f>CD12*BY3</f>
        <v>0</v>
      </c>
    </row>
    <row r="12" spans="1:82">
      <c r="C12" s="26" t="s">
        <v>19</v>
      </c>
      <c r="D12" s="24"/>
      <c r="E12" s="24"/>
      <c r="F12" s="24"/>
      <c r="G12" s="25">
        <f>'[1]0. ГИРА'!G12</f>
        <v>174.37685916504262</v>
      </c>
      <c r="H12" s="24"/>
      <c r="I12" s="24"/>
      <c r="J12" s="25">
        <f>'[1]0. ГИРА'!J12</f>
        <v>174.37685916504262</v>
      </c>
      <c r="K12" s="24"/>
      <c r="L12" s="24"/>
      <c r="M12" s="25">
        <f>'[1]0. ГИРА'!M12</f>
        <v>164.11939686121659</v>
      </c>
      <c r="N12" s="24"/>
      <c r="O12" s="24"/>
      <c r="P12" s="25">
        <f>'[1]0. ГИРА'!P12</f>
        <v>0</v>
      </c>
      <c r="Q12" s="24"/>
      <c r="R12" s="24"/>
      <c r="S12" s="25">
        <f>'[1]0. ГИРА'!S12</f>
        <v>0</v>
      </c>
      <c r="T12" s="24"/>
      <c r="U12" s="24"/>
      <c r="V12" s="25">
        <f>'[1]0. ГИРА'!V12</f>
        <v>0</v>
      </c>
      <c r="W12" s="24"/>
      <c r="X12" s="24"/>
      <c r="Y12" s="25">
        <f>'[1]0. ГИРА'!Y12</f>
        <v>0</v>
      </c>
      <c r="Z12" s="24"/>
      <c r="AA12" s="24"/>
      <c r="AB12" s="25">
        <f>'[1]0. ГИРА'!AB12</f>
        <v>0</v>
      </c>
      <c r="AC12" s="24"/>
      <c r="AD12" s="24"/>
      <c r="AE12" s="25">
        <f>'[1]0. ГИРА'!AE12</f>
        <v>0</v>
      </c>
      <c r="AF12" s="24"/>
      <c r="AG12" s="24"/>
      <c r="AH12" s="25">
        <f>'[1]0. ГИРА'!AH12</f>
        <v>0</v>
      </c>
      <c r="AI12" s="24"/>
      <c r="AJ12" s="24"/>
      <c r="AK12" s="25">
        <f>'[1]0. ГИРА'!AK12</f>
        <v>0</v>
      </c>
      <c r="AL12" s="24"/>
      <c r="AM12" s="24"/>
      <c r="AN12" s="25">
        <f>'[1]0. ГИРА'!AN12</f>
        <v>0</v>
      </c>
      <c r="AO12" s="24"/>
      <c r="AP12" s="24"/>
      <c r="AQ12" s="25">
        <f>'[1]0. ГИРА'!AQ12</f>
        <v>0</v>
      </c>
      <c r="AR12" s="24"/>
      <c r="AS12" s="24"/>
      <c r="AT12" s="25">
        <f>'[1]0. ГИРА'!AT12</f>
        <v>0</v>
      </c>
      <c r="AU12" s="24"/>
      <c r="AV12" s="24"/>
      <c r="AW12" s="25">
        <f>'[1]0. ГИРА'!AW12</f>
        <v>0</v>
      </c>
      <c r="AX12" s="24"/>
      <c r="AY12" s="24"/>
      <c r="AZ12" s="25">
        <f>'[1]0. ГИРА'!AZ12</f>
        <v>0</v>
      </c>
      <c r="BA12" s="24"/>
      <c r="BB12" s="24"/>
      <c r="BC12" s="25">
        <f>'[1]0. ГИРА'!BC12</f>
        <v>0</v>
      </c>
      <c r="BD12" s="24"/>
      <c r="BE12" s="24"/>
      <c r="BF12" s="25">
        <f>'[1]0. ГИРА'!BF12</f>
        <v>0</v>
      </c>
      <c r="BG12" s="24"/>
      <c r="BH12" s="24"/>
      <c r="BI12" s="25">
        <f>'[1]0. ГИРА'!BI12</f>
        <v>0</v>
      </c>
      <c r="BJ12" s="24"/>
      <c r="BK12" s="24"/>
      <c r="BL12" s="25">
        <f>'[1]0. ГИРА'!BL12</f>
        <v>0</v>
      </c>
      <c r="BM12" s="24"/>
      <c r="BN12" s="24"/>
      <c r="BO12" s="25">
        <f>'[1]0. ГИРА'!BO12</f>
        <v>0</v>
      </c>
      <c r="BP12" s="24"/>
      <c r="BQ12" s="24"/>
      <c r="BR12" s="25">
        <f>'[1]0. ГИРА'!BR12</f>
        <v>0</v>
      </c>
      <c r="BS12" s="24"/>
      <c r="BT12" s="24"/>
      <c r="BU12" s="25">
        <f>'[1]0. ГИРА'!BU12</f>
        <v>4.3081341676069349E-2</v>
      </c>
      <c r="BV12" s="24"/>
      <c r="BW12" s="24"/>
      <c r="BX12" s="25">
        <f>'[1]0. ГИРА'!BX12</f>
        <v>4.5132834136834561E-2</v>
      </c>
      <c r="BY12" s="24"/>
      <c r="BZ12" s="24"/>
      <c r="CA12" s="25">
        <f>'[1]0. ГИРА'!CA12</f>
        <v>4.7184326597599767E-2</v>
      </c>
      <c r="CB12" s="24"/>
      <c r="CC12" s="24"/>
      <c r="CD12" s="25">
        <f>'[1]0. ГИРА'!CD12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0. ГИРА</vt:lpstr>
      <vt:lpstr>К123,40</vt:lpstr>
      <vt:lpstr>К102,60</vt:lpstr>
      <vt:lpstr>К45,20</vt:lpstr>
      <vt:lpstr>К43,30</vt:lpstr>
      <vt:lpstr>К36,00</vt:lpstr>
      <vt:lpstr>К28,35</vt:lpstr>
      <vt:lpstr>К23</vt:lpstr>
      <vt:lpstr>Реестр</vt:lpstr>
      <vt:lpstr>Аренда</vt:lpstr>
      <vt:lpstr>ЛИСТШАБЛОН</vt:lpstr>
      <vt:lpstr>K666.0</vt:lpstr>
      <vt:lpstr>K8888.0</vt:lpstr>
      <vt:lpstr>K100.0</vt:lpstr>
      <vt:lpstr>K100.0_1</vt:lpstr>
      <vt:lpstr>K100.0_2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</cp:lastModifiedBy>
  <dcterms:created xsi:type="dcterms:W3CDTF">2015-06-05T18:19:34Z</dcterms:created>
  <dcterms:modified xsi:type="dcterms:W3CDTF">2026-02-25T19:51:17Z</dcterms:modified>
</cp:coreProperties>
</file>