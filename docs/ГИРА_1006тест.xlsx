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C7B920CD-1EBC-4158-8B9F-B0A37043C97B}" xr6:coauthVersionLast="47" xr6:coauthVersionMax="47" xr10:uidLastSave="{00000000-0000-0000-0000-000000000000}"/>
  <bookViews>
    <workbookView xWindow="0" yWindow="960" windowWidth="28875" windowHeight="14520" firstSheet="2" activeTab="8" xr2:uid="{00000000-000D-0000-FFFF-FFFF00000000}"/>
  </bookViews>
  <sheets>
    <sheet name="0. ГИРА" sheetId="1" r:id="rId1"/>
    <sheet name="К123,40" sheetId="2" r:id="rId2"/>
    <sheet name="К102,60" sheetId="3" r:id="rId3"/>
    <sheet name="К45,20" sheetId="4" r:id="rId4"/>
    <sheet name="К43,30" sheetId="5" r:id="rId5"/>
    <sheet name="К36,00" sheetId="6" r:id="rId6"/>
    <sheet name="К28,35" sheetId="7" r:id="rId7"/>
    <sheet name="К23" sheetId="8" r:id="rId8"/>
    <sheet name="Реестр" sheetId="9" r:id="rId9"/>
    <sheet name="Аренда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3" l="1"/>
  <c r="M9" i="3" s="1"/>
  <c r="M8" i="3"/>
  <c r="M7" i="3" s="1"/>
  <c r="L7" i="3"/>
  <c r="I7" i="3"/>
  <c r="F7" i="3"/>
  <c r="L5" i="3"/>
  <c r="I5" i="3"/>
  <c r="F5" i="3"/>
  <c r="L3" i="3"/>
  <c r="I3" i="3"/>
  <c r="J3" i="3" s="1"/>
  <c r="F3" i="3"/>
  <c r="G3" i="3" s="1"/>
  <c r="L7" i="1"/>
  <c r="I7" i="1"/>
  <c r="J8" i="1" s="1"/>
  <c r="J8" i="3" s="1"/>
  <c r="F7" i="1"/>
  <c r="G8" i="1" s="1"/>
  <c r="L5" i="1"/>
  <c r="M6" i="1" s="1"/>
  <c r="M6" i="3" s="1"/>
  <c r="I5" i="1"/>
  <c r="J6" i="1" s="1"/>
  <c r="J6" i="3" s="1"/>
  <c r="F5" i="1"/>
  <c r="G6" i="1" s="1"/>
  <c r="L3" i="1"/>
  <c r="M4" i="1" s="1"/>
  <c r="M4" i="3" s="1"/>
  <c r="M3" i="3" s="1"/>
  <c r="I3" i="1"/>
  <c r="J4" i="1" s="1"/>
  <c r="J4" i="3" s="1"/>
  <c r="F3" i="1"/>
  <c r="G4" i="1" s="1"/>
  <c r="G4" i="3" s="1"/>
  <c r="J5" i="3" l="1"/>
  <c r="M5" i="3"/>
  <c r="J7" i="3"/>
</calcChain>
</file>

<file path=xl/sharedStrings.xml><?xml version="1.0" encoding="utf-8"?>
<sst xmlns="http://schemas.openxmlformats.org/spreadsheetml/2006/main" count="1145" uniqueCount="88">
  <si>
    <t>Кадастр</t>
  </si>
  <si>
    <t>Месяц</t>
  </si>
  <si>
    <t>Потребл.</t>
  </si>
  <si>
    <t>Потребитель</t>
  </si>
  <si>
    <t>ГИРА</t>
  </si>
  <si>
    <t>знач.</t>
  </si>
  <si>
    <t>руб.</t>
  </si>
  <si>
    <t>Площадь</t>
  </si>
  <si>
    <t>Электричество</t>
  </si>
  <si>
    <t>ИНН</t>
  </si>
  <si>
    <t>Электричество тариф</t>
  </si>
  <si>
    <t>Кол-во помещ</t>
  </si>
  <si>
    <t>Водоканал холодная вода</t>
  </si>
  <si>
    <t>Водоканал холодная Тариф</t>
  </si>
  <si>
    <t>Водоканал горячая вода</t>
  </si>
  <si>
    <t>Водоканал горячая Тариф</t>
  </si>
  <si>
    <t>Тепло</t>
  </si>
  <si>
    <t>Тепло тариф</t>
  </si>
  <si>
    <t>Экспл. Услуги от УК</t>
  </si>
  <si>
    <t>Экспл. Услуги от УК тариф</t>
  </si>
  <si>
    <t>Физическое снятие показаний</t>
  </si>
  <si>
    <t>Из счёт фактуры должно подгятиваться</t>
  </si>
  <si>
    <t>Расчётные ячейки</t>
  </si>
  <si>
    <t>знач</t>
  </si>
  <si>
    <t>Арендатор</t>
  </si>
  <si>
    <t>Имя 1</t>
  </si>
  <si>
    <t>Контакт 1</t>
  </si>
  <si>
    <t>Имя 2</t>
  </si>
  <si>
    <t>Контакт 2</t>
  </si>
  <si>
    <t>Номер счетчика</t>
  </si>
  <si>
    <t>111  000111,000788,000191, 11111111, 11111110</t>
  </si>
  <si>
    <t>Договор</t>
  </si>
  <si>
    <t>Помещение</t>
  </si>
  <si>
    <t>Форма бизнеса</t>
  </si>
  <si>
    <t>Вид деятельности</t>
  </si>
  <si>
    <t>Листы</t>
  </si>
  <si>
    <t>Акт п/п</t>
  </si>
  <si>
    <t>Счет</t>
  </si>
  <si>
    <t>Собственник</t>
  </si>
  <si>
    <t>Фамилия</t>
  </si>
  <si>
    <t>Имя</t>
  </si>
  <si>
    <t>Отчество</t>
  </si>
  <si>
    <t>№99 12.02.2024</t>
  </si>
  <si>
    <t>1006:3090</t>
  </si>
  <si>
    <t>ИП</t>
  </si>
  <si>
    <t>Гареева А.В.</t>
  </si>
  <si>
    <t>Магазин обоев</t>
  </si>
  <si>
    <t>К123,40</t>
  </si>
  <si>
    <t xml:space="preserve">Альфия    </t>
  </si>
  <si>
    <t>Карина</t>
  </si>
  <si>
    <t>ООО ГИРА</t>
  </si>
  <si>
    <t>№11 07.02.2025</t>
  </si>
  <si>
    <t xml:space="preserve"> Гарипов И.К.</t>
  </si>
  <si>
    <t>К102,60</t>
  </si>
  <si>
    <t xml:space="preserve">Ильнар </t>
  </si>
  <si>
    <t>-</t>
  </si>
  <si>
    <t>понович</t>
  </si>
  <si>
    <t>№56 02.02.2025</t>
  </si>
  <si>
    <t>ООО</t>
  </si>
  <si>
    <t>Нал</t>
  </si>
  <si>
    <t>Врач</t>
  </si>
  <si>
    <t>К45,20</t>
  </si>
  <si>
    <t>№1 27.11.2025</t>
  </si>
  <si>
    <t>Мясоо</t>
  </si>
  <si>
    <t>Мясная</t>
  </si>
  <si>
    <t>К43,30</t>
  </si>
  <si>
    <t>№73 27.11.2023</t>
  </si>
  <si>
    <t>Галяутдинова Н.А.</t>
  </si>
  <si>
    <t>Шоурум одежды</t>
  </si>
  <si>
    <t>К36,00</t>
  </si>
  <si>
    <t xml:space="preserve">Наталья </t>
  </si>
  <si>
    <t>ИП Султанов Р.М</t>
  </si>
  <si>
    <t>свободно</t>
  </si>
  <si>
    <t>К28,35</t>
  </si>
  <si>
    <t>К23</t>
  </si>
  <si>
    <t>количество</t>
  </si>
  <si>
    <t>Ставка</t>
  </si>
  <si>
    <t>Сумма</t>
  </si>
  <si>
    <t>30 или 1 го выставляется до 5 го увед</t>
  </si>
  <si>
    <t>Памятники</t>
  </si>
  <si>
    <t>Нагимов</t>
  </si>
  <si>
    <t>Ранель</t>
  </si>
  <si>
    <t>Алмазович</t>
  </si>
  <si>
    <t>Понов</t>
  </si>
  <si>
    <t>Денис</t>
  </si>
  <si>
    <t>Тэстэ</t>
  </si>
  <si>
    <t>Стеронович</t>
  </si>
  <si>
    <t>Качков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</si>
</sst>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i/>
      <sz val="11"/>
      <color rgb="FFFF0000"/>
      <name val="Calibri (Основной текст)"/>
      <charset val="204"/>
    </font>
    <font>
      <sz val="11"/>
      <color rgb="FF000000"/>
      <name val="Calibri"/>
      <family val="2"/>
      <charset val="204"/>
      <scheme val="minor"/>
    </font>
    <font>
      <sz val="12"/>
      <color rgb="FF000000"/>
      <name val="Calibri (Основной текст)"/>
      <charset val="204"/>
    </font>
    <font>
      <b/>
      <i/>
      <sz val="11"/>
      <color rgb="FF00000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0" xfId="0" applyFont="1"/>
    <xf numFmtId="0" fontId="3" fillId="0" borderId="0" xfId="0" applyFont="1"/>
    <xf numFmtId="0" fontId="3" fillId="0" borderId="4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5" borderId="0" xfId="0" applyFill="1"/>
    <xf numFmtId="3" fontId="0" fillId="0" borderId="0" xfId="0" applyNumberFormat="1"/>
    <xf numFmtId="3" fontId="5" fillId="0" borderId="0" xfId="0" applyNumberFormat="1" applyFont="1"/>
    <xf numFmtId="4" fontId="5" fillId="0" borderId="0" xfId="0" applyNumberFormat="1" applyFont="1"/>
    <xf numFmtId="0" fontId="0" fillId="0" borderId="5" xfId="0" applyBorder="1" applyAlignment="1">
      <alignment horizontal="center"/>
    </xf>
    <xf numFmtId="0" fontId="8" fillId="0" borderId="5" xfId="0" applyFon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/>
    </xf>
    <xf numFmtId="4" fontId="5" fillId="5" borderId="5" xfId="0" applyNumberFormat="1" applyFon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4" fontId="5" fillId="7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/>
    <xf numFmtId="0" fontId="7" fillId="10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/>
    </xf>
    <xf numFmtId="0" fontId="9" fillId="0" borderId="0" xfId="0" applyFont="1"/>
    <xf numFmtId="14" fontId="9" fillId="0" borderId="5" xfId="0" applyNumberFormat="1" applyFont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14" fontId="9" fillId="12" borderId="5" xfId="0" applyNumberFormat="1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17" fontId="0" fillId="0" borderId="0" xfId="0" applyNumberFormat="1"/>
    <xf numFmtId="0" fontId="0" fillId="11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3" borderId="4" xfId="0" applyFill="1" applyBorder="1"/>
    <xf numFmtId="0" fontId="0" fillId="14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15" borderId="10" xfId="0" applyFont="1" applyFill="1" applyBorder="1" applyAlignment="1">
      <alignment horizontal="center"/>
    </xf>
    <xf numFmtId="3" fontId="7" fillId="16" borderId="11" xfId="0" applyNumberFormat="1" applyFont="1" applyFill="1" applyBorder="1" applyAlignment="1">
      <alignment horizontal="center"/>
    </xf>
    <xf numFmtId="3" fontId="11" fillId="17" borderId="11" xfId="0" applyNumberFormat="1" applyFont="1" applyFill="1" applyBorder="1" applyAlignment="1">
      <alignment horizontal="center"/>
    </xf>
    <xf numFmtId="4" fontId="11" fillId="17" borderId="11" xfId="0" applyNumberFormat="1" applyFont="1" applyFill="1" applyBorder="1" applyAlignment="1">
      <alignment horizontal="center"/>
    </xf>
    <xf numFmtId="3" fontId="7" fillId="0" borderId="12" xfId="0" applyNumberFormat="1" applyFont="1" applyBorder="1" applyAlignment="1">
      <alignment horizontal="center"/>
    </xf>
    <xf numFmtId="4" fontId="11" fillId="18" borderId="12" xfId="0" applyNumberFormat="1" applyFont="1" applyFill="1" applyBorder="1" applyAlignment="1">
      <alignment horizontal="center"/>
    </xf>
    <xf numFmtId="0" fontId="5" fillId="0" borderId="5" xfId="0" applyFont="1" applyBorder="1"/>
    <xf numFmtId="17" fontId="0" fillId="6" borderId="5" xfId="0" applyNumberFormat="1" applyFill="1" applyBorder="1"/>
    <xf numFmtId="14" fontId="0" fillId="0" borderId="5" xfId="0" applyNumberFormat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0" fillId="0" borderId="14" xfId="0" applyBorder="1"/>
    <xf numFmtId="0" fontId="0" fillId="11" borderId="14" xfId="0" applyFill="1" applyBorder="1"/>
    <xf numFmtId="0" fontId="0" fillId="0" borderId="0" xfId="0"/>
    <xf numFmtId="0" fontId="2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6" fillId="0" borderId="5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0" fillId="0" borderId="5" xfId="0" applyBorder="1"/>
    <xf numFmtId="0" fontId="0" fillId="8" borderId="0" xfId="0" applyFill="1"/>
    <xf numFmtId="0" fontId="0" fillId="8" borderId="5" xfId="0" applyFill="1" applyBorder="1"/>
    <xf numFmtId="0" fontId="0" fillId="8" borderId="5" xfId="0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0" fontId="0" fillId="8" borderId="4" xfId="0" applyFill="1" applyBorder="1"/>
    <xf numFmtId="0" fontId="0" fillId="2" borderId="4" xfId="0" applyFill="1" applyBorder="1" applyProtection="1">
      <protection locked="0"/>
    </xf>
    <xf numFmtId="0" fontId="0" fillId="0" borderId="2" xfId="0" applyBorder="1" applyProtection="1">
      <protection locked="0"/>
    </xf>
    <xf numFmtId="17" fontId="0" fillId="6" borderId="1" xfId="0" applyNumberFormat="1" applyFill="1" applyBorder="1"/>
    <xf numFmtId="0" fontId="5" fillId="11" borderId="4" xfId="0" applyFont="1" applyFill="1" applyBorder="1"/>
    <xf numFmtId="0" fontId="4" fillId="0" borderId="15" xfId="0" applyFont="1" applyBorder="1" applyAlignment="1">
      <alignment vertical="center" wrapText="1"/>
    </xf>
    <xf numFmtId="0" fontId="0" fillId="0" borderId="4" xfId="0" applyBorder="1"/>
    <xf numFmtId="0" fontId="5" fillId="3" borderId="4" xfId="0" applyFont="1" applyFill="1" applyBorder="1"/>
    <xf numFmtId="0" fontId="5" fillId="4" borderId="4" xfId="0" applyFont="1" applyFill="1" applyBorder="1"/>
    <xf numFmtId="0" fontId="5" fillId="5" borderId="4" xfId="0" applyFont="1" applyFill="1" applyBorder="1"/>
    <xf numFmtId="4" fontId="5" fillId="3" borderId="4" xfId="0" applyNumberFormat="1" applyFont="1" applyFill="1" applyBorder="1"/>
    <xf numFmtId="0" fontId="0" fillId="2" borderId="2" xfId="0" applyFill="1" applyBorder="1" applyProtection="1">
      <protection locked="0"/>
    </xf>
    <xf numFmtId="0" fontId="0" fillId="0" borderId="4" xfId="0" applyBorder="1" applyProtection="1">
      <protection locked="0"/>
    </xf>
    <xf numFmtId="0" fontId="5" fillId="0" borderId="4" xfId="0" applyFont="1" applyBorder="1"/>
    <xf numFmtId="3" fontId="5" fillId="3" borderId="4" xfId="0" applyNumberFormat="1" applyFont="1" applyFill="1" applyBorder="1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"/>
  <sheetViews>
    <sheetView zoomScale="150" zoomScaleNormal="98" workbookViewId="0">
      <pane xSplit="3" ySplit="16" topLeftCell="K17" activePane="bottomRight" state="frozen"/>
      <selection pane="topRight" activeCell="D1" sqref="D1"/>
      <selection pane="bottomLeft" activeCell="A16" sqref="A16"/>
      <selection pane="bottomRight" activeCell="M6" sqref="M6"/>
    </sheetView>
  </sheetViews>
  <sheetFormatPr defaultColWidth="10" defaultRowHeight="15"/>
  <cols>
    <col min="1" max="1" width="12" style="59" customWidth="1"/>
    <col min="2" max="2" width="11" style="59" customWidth="1"/>
    <col min="3" max="3" width="24.28515625" style="1" bestFit="1" customWidth="1"/>
    <col min="4" max="4" width="9.28515625" style="59" bestFit="1" customWidth="1"/>
    <col min="5" max="5" width="7.28515625" style="59" bestFit="1" customWidth="1"/>
    <col min="6" max="6" width="9.85546875" style="1" bestFit="1" customWidth="1"/>
    <col min="7" max="7" width="10" style="1" bestFit="1" customWidth="1"/>
    <col min="8" max="8" width="11.28515625" style="59" customWidth="1"/>
    <col min="9" max="9" width="14.7109375" style="1" customWidth="1"/>
    <col min="10" max="10" width="10" style="1" bestFit="1" customWidth="1"/>
    <col min="11" max="11" width="10.85546875" style="59" customWidth="1"/>
    <col min="12" max="12" width="9.85546875" style="1" bestFit="1" customWidth="1"/>
    <col min="13" max="13" width="13.42578125" style="1" customWidth="1"/>
    <col min="14" max="14" width="7.140625" style="59" bestFit="1" customWidth="1"/>
    <col min="15" max="15" width="9.85546875" style="1" bestFit="1" customWidth="1"/>
    <col min="16" max="16" width="8.42578125" style="1" bestFit="1" customWidth="1"/>
    <col min="17" max="17" width="7.42578125" style="59" bestFit="1" customWidth="1"/>
    <col min="18" max="18" width="9.85546875" style="1" bestFit="1" customWidth="1"/>
    <col min="19" max="19" width="8.42578125" style="1" bestFit="1" customWidth="1"/>
    <col min="20" max="20" width="7" style="59" bestFit="1" customWidth="1"/>
    <col min="21" max="21" width="9.85546875" style="1" bestFit="1" customWidth="1"/>
    <col min="22" max="22" width="8.42578125" style="1" bestFit="1" customWidth="1"/>
    <col min="23" max="23" width="14.42578125" style="59" customWidth="1"/>
    <col min="24" max="24" width="9.85546875" style="1" bestFit="1" customWidth="1"/>
    <col min="25" max="25" width="8.42578125" style="1" bestFit="1" customWidth="1"/>
    <col min="26" max="26" width="12.42578125" style="59" customWidth="1"/>
    <col min="27" max="27" width="9.85546875" style="1" bestFit="1" customWidth="1"/>
    <col min="28" max="28" width="8.42578125" style="1" bestFit="1" customWidth="1"/>
    <col min="29" max="29" width="6.42578125" style="59" bestFit="1" customWidth="1"/>
    <col min="30" max="30" width="9.85546875" style="1" bestFit="1" customWidth="1"/>
    <col min="31" max="31" width="8.42578125" style="1" bestFit="1" customWidth="1"/>
    <col min="32" max="32" width="6.85546875" style="59" bestFit="1" customWidth="1"/>
    <col min="33" max="33" width="9.85546875" style="1" bestFit="1" customWidth="1"/>
    <col min="34" max="34" width="8.42578125" style="1" bestFit="1" customWidth="1"/>
    <col min="35" max="35" width="6.85546875" style="59" bestFit="1" customWidth="1"/>
    <col min="36" max="36" width="9.85546875" style="1" bestFit="1" customWidth="1"/>
    <col min="37" max="37" width="8.42578125" style="1" bestFit="1" customWidth="1"/>
    <col min="38" max="38" width="7" style="59" bestFit="1" customWidth="1"/>
    <col min="39" max="39" width="9.85546875" style="1" bestFit="1" customWidth="1"/>
    <col min="40" max="40" width="8.42578125" style="1" bestFit="1" customWidth="1"/>
    <col min="41" max="41" width="7.85546875" style="59" bestFit="1" customWidth="1"/>
    <col min="42" max="42" width="9.85546875" style="1" bestFit="1" customWidth="1"/>
    <col min="43" max="43" width="8.42578125" style="1" bestFit="1" customWidth="1"/>
    <col min="44" max="44" width="6.28515625" style="1" bestFit="1" customWidth="1"/>
    <col min="45" max="45" width="9.85546875" style="1" bestFit="1" customWidth="1"/>
    <col min="46" max="46" width="8.42578125" style="59" bestFit="1" customWidth="1"/>
    <col min="47" max="47" width="7.85546875" style="59" bestFit="1" customWidth="1"/>
    <col min="48" max="48" width="9.85546875" style="59" bestFit="1" customWidth="1"/>
    <col min="49" max="49" width="8.42578125" style="59" bestFit="1" customWidth="1"/>
    <col min="50" max="50" width="6.85546875" style="59" bestFit="1" customWidth="1"/>
    <col min="51" max="51" width="9.85546875" style="59" bestFit="1" customWidth="1"/>
    <col min="52" max="52" width="8.42578125" style="59" bestFit="1" customWidth="1"/>
    <col min="53" max="53" width="6" style="59" bestFit="1" customWidth="1"/>
    <col min="54" max="54" width="9.85546875" style="59" bestFit="1" customWidth="1"/>
    <col min="55" max="55" width="8.42578125" style="59" bestFit="1" customWidth="1"/>
    <col min="56" max="56" width="7" style="59" bestFit="1" customWidth="1"/>
    <col min="57" max="57" width="9.85546875" style="59" bestFit="1" customWidth="1"/>
    <col min="58" max="58" width="8.42578125" style="59" bestFit="1" customWidth="1"/>
    <col min="59" max="59" width="7" style="59" bestFit="1" customWidth="1"/>
    <col min="60" max="60" width="9.85546875" style="59" bestFit="1" customWidth="1"/>
    <col min="61" max="61" width="8.42578125" style="59" bestFit="1" customWidth="1"/>
    <col min="62" max="62" width="6.28515625" style="59" bestFit="1" customWidth="1"/>
    <col min="63" max="63" width="9.85546875" style="59" bestFit="1" customWidth="1"/>
    <col min="64" max="64" width="8.42578125" style="59" bestFit="1" customWidth="1"/>
    <col min="65" max="65" width="6.140625" style="59" bestFit="1" customWidth="1"/>
    <col min="66" max="66" width="9.85546875" style="59" bestFit="1" customWidth="1"/>
    <col min="67" max="67" width="8.42578125" style="59" bestFit="1" customWidth="1"/>
    <col min="68" max="68" width="6.85546875" style="59" bestFit="1" customWidth="1"/>
    <col min="69" max="69" width="9.85546875" style="59" bestFit="1" customWidth="1"/>
    <col min="70" max="70" width="8.42578125" style="59" bestFit="1" customWidth="1"/>
    <col min="71" max="71" width="7.42578125" style="59" bestFit="1" customWidth="1"/>
    <col min="72" max="72" width="9.85546875" style="59" bestFit="1" customWidth="1"/>
    <col min="73" max="73" width="8.42578125" style="59" bestFit="1" customWidth="1"/>
    <col min="74" max="74" width="7" style="59" bestFit="1" customWidth="1"/>
    <col min="75" max="75" width="9.85546875" style="59" bestFit="1" customWidth="1"/>
    <col min="76" max="76" width="8.42578125" style="59" bestFit="1" customWidth="1"/>
    <col min="77" max="77" width="6.42578125" style="59" bestFit="1" customWidth="1"/>
    <col min="78" max="78" width="9.85546875" style="59" bestFit="1" customWidth="1"/>
    <col min="79" max="79" width="8.42578125" style="59" bestFit="1" customWidth="1"/>
  </cols>
  <sheetData>
    <row r="1" spans="1:79">
      <c r="A1" s="69" t="s">
        <v>0</v>
      </c>
      <c r="B1" s="71">
        <v>1006</v>
      </c>
      <c r="C1" s="61" t="s">
        <v>1</v>
      </c>
      <c r="D1" s="62">
        <v>45962</v>
      </c>
      <c r="E1" s="62">
        <v>45992</v>
      </c>
      <c r="F1" s="85" t="s">
        <v>2</v>
      </c>
      <c r="G1" s="75">
        <v>45962</v>
      </c>
      <c r="H1" s="62">
        <v>46023</v>
      </c>
      <c r="I1" s="85" t="s">
        <v>2</v>
      </c>
      <c r="J1" s="75">
        <v>45992</v>
      </c>
      <c r="K1" s="62">
        <v>46054</v>
      </c>
      <c r="L1" s="85" t="s">
        <v>2</v>
      </c>
      <c r="M1" s="75">
        <v>46023</v>
      </c>
      <c r="N1" s="62">
        <v>46082</v>
      </c>
      <c r="O1" s="85" t="s">
        <v>2</v>
      </c>
      <c r="P1" s="75">
        <v>46054</v>
      </c>
      <c r="Q1" s="62">
        <v>46113</v>
      </c>
      <c r="R1" s="85" t="s">
        <v>2</v>
      </c>
      <c r="S1" s="75">
        <v>46082</v>
      </c>
      <c r="T1" s="62">
        <v>46143</v>
      </c>
      <c r="U1" s="85" t="s">
        <v>2</v>
      </c>
      <c r="V1" s="75">
        <v>46113</v>
      </c>
      <c r="W1" s="62">
        <v>46174</v>
      </c>
      <c r="X1" s="85" t="s">
        <v>2</v>
      </c>
      <c r="Y1" s="75">
        <v>46143</v>
      </c>
      <c r="Z1" s="62">
        <v>46204</v>
      </c>
      <c r="AA1" s="85" t="s">
        <v>2</v>
      </c>
      <c r="AB1" s="75">
        <v>46174</v>
      </c>
      <c r="AC1" s="62">
        <v>46235</v>
      </c>
      <c r="AD1" s="85" t="s">
        <v>2</v>
      </c>
      <c r="AE1" s="75">
        <v>46204</v>
      </c>
      <c r="AF1" s="62">
        <v>46266</v>
      </c>
      <c r="AG1" s="85" t="s">
        <v>2</v>
      </c>
      <c r="AH1" s="75">
        <v>46235</v>
      </c>
      <c r="AI1" s="62">
        <v>46296</v>
      </c>
      <c r="AJ1" s="85" t="s">
        <v>2</v>
      </c>
      <c r="AK1" s="75">
        <v>46266</v>
      </c>
      <c r="AL1" s="62">
        <v>46327</v>
      </c>
      <c r="AM1" s="85" t="s">
        <v>2</v>
      </c>
      <c r="AN1" s="75">
        <v>46296</v>
      </c>
      <c r="AO1" s="62">
        <v>46357</v>
      </c>
      <c r="AP1" s="85" t="s">
        <v>2</v>
      </c>
      <c r="AQ1" s="75">
        <v>46327</v>
      </c>
      <c r="AR1" s="62">
        <v>46388</v>
      </c>
      <c r="AS1" s="85" t="s">
        <v>2</v>
      </c>
      <c r="AT1" s="75">
        <v>46357</v>
      </c>
      <c r="AU1" s="62">
        <v>46419</v>
      </c>
      <c r="AV1" s="85" t="s">
        <v>2</v>
      </c>
      <c r="AW1" s="75">
        <v>46388</v>
      </c>
      <c r="AX1" s="62">
        <v>46447</v>
      </c>
      <c r="AY1" s="85" t="s">
        <v>2</v>
      </c>
      <c r="AZ1" s="75">
        <v>46419</v>
      </c>
      <c r="BA1" s="62">
        <v>46478</v>
      </c>
      <c r="BB1" s="85" t="s">
        <v>2</v>
      </c>
      <c r="BC1" s="75">
        <v>46447</v>
      </c>
      <c r="BD1" s="62">
        <v>46508</v>
      </c>
      <c r="BE1" s="85" t="s">
        <v>2</v>
      </c>
      <c r="BF1" s="75">
        <v>46478</v>
      </c>
      <c r="BG1" s="62">
        <v>46539</v>
      </c>
      <c r="BH1" s="85" t="s">
        <v>2</v>
      </c>
      <c r="BI1" s="75">
        <v>46508</v>
      </c>
      <c r="BJ1" s="62">
        <v>46569</v>
      </c>
      <c r="BK1" s="85" t="s">
        <v>2</v>
      </c>
      <c r="BL1" s="75">
        <v>46539</v>
      </c>
      <c r="BM1" s="62">
        <v>46600</v>
      </c>
      <c r="BN1" s="85" t="s">
        <v>2</v>
      </c>
      <c r="BO1" s="75">
        <v>46569</v>
      </c>
      <c r="BP1" s="62">
        <v>46631</v>
      </c>
      <c r="BQ1" s="85" t="s">
        <v>2</v>
      </c>
      <c r="BR1" s="75">
        <v>46600</v>
      </c>
      <c r="BS1" s="62">
        <v>46661</v>
      </c>
      <c r="BT1" s="85" t="s">
        <v>2</v>
      </c>
      <c r="BU1" s="75">
        <v>46631</v>
      </c>
      <c r="BV1" s="62">
        <v>46692</v>
      </c>
      <c r="BW1" s="85" t="s">
        <v>2</v>
      </c>
      <c r="BX1" s="75">
        <v>46661</v>
      </c>
      <c r="BY1" s="62">
        <v>46722</v>
      </c>
      <c r="BZ1" s="85" t="s">
        <v>2</v>
      </c>
      <c r="CA1" s="75">
        <v>46692</v>
      </c>
    </row>
    <row r="2" spans="1:79" s="2" customFormat="1">
      <c r="A2" s="69" t="s">
        <v>3</v>
      </c>
      <c r="B2" s="70" t="s">
        <v>4</v>
      </c>
      <c r="C2" s="65"/>
      <c r="D2" s="20" t="s">
        <v>5</v>
      </c>
      <c r="E2" s="3" t="s">
        <v>5</v>
      </c>
      <c r="F2" s="3" t="s">
        <v>5</v>
      </c>
      <c r="G2" s="3" t="s">
        <v>6</v>
      </c>
      <c r="H2" s="3" t="s">
        <v>5</v>
      </c>
      <c r="I2" s="3" t="s">
        <v>5</v>
      </c>
      <c r="J2" s="3" t="s">
        <v>6</v>
      </c>
      <c r="K2" s="3" t="s">
        <v>5</v>
      </c>
      <c r="L2" s="3" t="s">
        <v>5</v>
      </c>
      <c r="M2" s="3" t="s">
        <v>6</v>
      </c>
      <c r="N2" s="3" t="s">
        <v>5</v>
      </c>
      <c r="O2" s="3" t="s">
        <v>5</v>
      </c>
      <c r="P2" s="3" t="s">
        <v>6</v>
      </c>
      <c r="Q2" s="3" t="s">
        <v>5</v>
      </c>
      <c r="R2" s="3" t="s">
        <v>5</v>
      </c>
      <c r="S2" s="3" t="s">
        <v>6</v>
      </c>
      <c r="T2" s="3" t="s">
        <v>5</v>
      </c>
      <c r="U2" s="3" t="s">
        <v>5</v>
      </c>
      <c r="V2" s="3" t="s">
        <v>6</v>
      </c>
      <c r="W2" s="3" t="s">
        <v>5</v>
      </c>
      <c r="X2" s="3" t="s">
        <v>5</v>
      </c>
      <c r="Y2" s="3" t="s">
        <v>6</v>
      </c>
      <c r="Z2" s="3" t="s">
        <v>5</v>
      </c>
      <c r="AA2" s="3" t="s">
        <v>5</v>
      </c>
      <c r="AB2" s="3" t="s">
        <v>6</v>
      </c>
      <c r="AC2" s="3" t="s">
        <v>5</v>
      </c>
      <c r="AD2" s="3" t="s">
        <v>5</v>
      </c>
      <c r="AE2" s="3" t="s">
        <v>6</v>
      </c>
      <c r="AF2" s="3" t="s">
        <v>5</v>
      </c>
      <c r="AG2" s="3" t="s">
        <v>5</v>
      </c>
      <c r="AH2" s="3" t="s">
        <v>6</v>
      </c>
      <c r="AI2" s="3" t="s">
        <v>5</v>
      </c>
      <c r="AJ2" s="3" t="s">
        <v>5</v>
      </c>
      <c r="AK2" s="3" t="s">
        <v>6</v>
      </c>
      <c r="AL2" s="3" t="s">
        <v>5</v>
      </c>
      <c r="AM2" s="3" t="s">
        <v>5</v>
      </c>
      <c r="AN2" s="3" t="s">
        <v>6</v>
      </c>
      <c r="AO2" s="3" t="s">
        <v>5</v>
      </c>
      <c r="AP2" s="3" t="s">
        <v>5</v>
      </c>
      <c r="AQ2" s="3" t="s">
        <v>6</v>
      </c>
      <c r="AR2" s="3" t="s">
        <v>5</v>
      </c>
      <c r="AS2" s="3" t="s">
        <v>5</v>
      </c>
      <c r="AT2" s="3" t="s">
        <v>6</v>
      </c>
      <c r="AU2" s="3" t="s">
        <v>5</v>
      </c>
      <c r="AV2" s="3" t="s">
        <v>5</v>
      </c>
      <c r="AW2" s="3" t="s">
        <v>6</v>
      </c>
      <c r="AX2" s="3" t="s">
        <v>5</v>
      </c>
      <c r="AY2" s="3" t="s">
        <v>5</v>
      </c>
      <c r="AZ2" s="3" t="s">
        <v>6</v>
      </c>
      <c r="BA2" s="3" t="s">
        <v>5</v>
      </c>
      <c r="BB2" s="3" t="s">
        <v>5</v>
      </c>
      <c r="BC2" s="3" t="s">
        <v>6</v>
      </c>
      <c r="BD2" s="3" t="s">
        <v>5</v>
      </c>
      <c r="BE2" s="3" t="s">
        <v>5</v>
      </c>
      <c r="BF2" s="3" t="s">
        <v>6</v>
      </c>
      <c r="BG2" s="3" t="s">
        <v>5</v>
      </c>
      <c r="BH2" s="3" t="s">
        <v>5</v>
      </c>
      <c r="BI2" s="3" t="s">
        <v>6</v>
      </c>
      <c r="BJ2" s="3" t="s">
        <v>5</v>
      </c>
      <c r="BK2" s="3" t="s">
        <v>5</v>
      </c>
      <c r="BL2" s="3" t="s">
        <v>6</v>
      </c>
      <c r="BM2" s="3" t="s">
        <v>5</v>
      </c>
      <c r="BN2" s="3" t="s">
        <v>5</v>
      </c>
      <c r="BO2" s="3" t="s">
        <v>6</v>
      </c>
      <c r="BP2" s="3" t="s">
        <v>5</v>
      </c>
      <c r="BQ2" s="3" t="s">
        <v>5</v>
      </c>
      <c r="BR2" s="3" t="s">
        <v>6</v>
      </c>
      <c r="BS2" s="3" t="s">
        <v>5</v>
      </c>
      <c r="BT2" s="3" t="s">
        <v>5</v>
      </c>
      <c r="BU2" s="3" t="s">
        <v>6</v>
      </c>
      <c r="BV2" s="3" t="s">
        <v>5</v>
      </c>
      <c r="BW2" s="3" t="s">
        <v>5</v>
      </c>
      <c r="BX2" s="3" t="s">
        <v>6</v>
      </c>
      <c r="BY2" s="3" t="s">
        <v>5</v>
      </c>
      <c r="BZ2" s="3" t="s">
        <v>5</v>
      </c>
      <c r="CA2" s="3" t="s">
        <v>6</v>
      </c>
    </row>
    <row r="3" spans="1:79" ht="15" customHeight="1">
      <c r="A3" s="69" t="s">
        <v>7</v>
      </c>
      <c r="B3" s="70">
        <v>487.45</v>
      </c>
      <c r="C3" s="66" t="s">
        <v>8</v>
      </c>
      <c r="D3" s="83">
        <v>245000</v>
      </c>
      <c r="E3" s="73">
        <v>245035</v>
      </c>
      <c r="F3" s="79">
        <f>E3-D3</f>
        <v>35</v>
      </c>
      <c r="G3" s="82">
        <v>210</v>
      </c>
      <c r="H3" s="83">
        <v>245077</v>
      </c>
      <c r="I3" s="79">
        <f>H3-E3</f>
        <v>42</v>
      </c>
      <c r="J3" s="82">
        <v>252</v>
      </c>
      <c r="K3" s="83">
        <v>1111</v>
      </c>
      <c r="L3" s="79">
        <f>K3-H3</f>
        <v>-243966</v>
      </c>
      <c r="M3" s="82">
        <v>253</v>
      </c>
      <c r="N3" s="73"/>
      <c r="O3" s="79"/>
      <c r="P3" s="82"/>
      <c r="Q3" s="73"/>
      <c r="R3" s="79"/>
      <c r="S3" s="82"/>
      <c r="T3" s="73"/>
      <c r="U3" s="79"/>
      <c r="V3" s="82"/>
      <c r="W3" s="73"/>
      <c r="X3" s="79"/>
      <c r="Y3" s="82"/>
      <c r="Z3" s="73"/>
      <c r="AA3" s="79"/>
      <c r="AB3" s="82"/>
      <c r="AC3" s="73"/>
      <c r="AD3" s="79"/>
      <c r="AE3" s="82"/>
      <c r="AF3" s="73"/>
      <c r="AG3" s="79"/>
      <c r="AH3" s="82"/>
      <c r="AI3" s="73"/>
      <c r="AJ3" s="79"/>
      <c r="AK3" s="82"/>
      <c r="AL3" s="73"/>
      <c r="AM3" s="79"/>
      <c r="AN3" s="82"/>
      <c r="AO3" s="73"/>
      <c r="AP3" s="79"/>
      <c r="AQ3" s="82"/>
      <c r="AR3" s="73"/>
      <c r="AS3" s="79"/>
      <c r="AT3" s="82"/>
      <c r="AU3" s="73"/>
      <c r="AV3" s="79"/>
      <c r="AW3" s="82"/>
      <c r="AX3" s="73"/>
      <c r="AY3" s="79"/>
      <c r="AZ3" s="82"/>
      <c r="BA3" s="73"/>
      <c r="BB3" s="79"/>
      <c r="BC3" s="82"/>
      <c r="BD3" s="73"/>
      <c r="BE3" s="79"/>
      <c r="BF3" s="82"/>
      <c r="BG3" s="73"/>
      <c r="BH3" s="79"/>
      <c r="BI3" s="82"/>
      <c r="BJ3" s="73"/>
      <c r="BK3" s="79"/>
      <c r="BL3" s="82"/>
      <c r="BM3" s="73"/>
      <c r="BN3" s="79"/>
      <c r="BO3" s="82"/>
      <c r="BP3" s="73"/>
      <c r="BQ3" s="79"/>
      <c r="BR3" s="82"/>
      <c r="BS3" s="73"/>
      <c r="BT3" s="79"/>
      <c r="BU3" s="82"/>
      <c r="BV3" s="73"/>
      <c r="BW3" s="79"/>
      <c r="BX3" s="82"/>
      <c r="BY3" s="73"/>
      <c r="BZ3" s="79"/>
      <c r="CA3" s="82"/>
    </row>
    <row r="4" spans="1:79" ht="15" customHeight="1">
      <c r="A4" s="68" t="s">
        <v>9</v>
      </c>
      <c r="B4" s="72"/>
      <c r="C4" s="66" t="s">
        <v>10</v>
      </c>
      <c r="D4" s="74"/>
      <c r="E4" s="84"/>
      <c r="F4" s="85"/>
      <c r="G4" s="80">
        <f>G3/F3</f>
        <v>6</v>
      </c>
      <c r="H4" s="84"/>
      <c r="I4" s="85"/>
      <c r="J4" s="80">
        <f>J3/I3</f>
        <v>6</v>
      </c>
      <c r="K4" s="84"/>
      <c r="L4" s="85"/>
      <c r="M4" s="80">
        <f>M3/L3</f>
        <v>-1.0370297500471378E-3</v>
      </c>
      <c r="N4" s="84"/>
      <c r="O4" s="85"/>
      <c r="P4" s="80"/>
      <c r="Q4" s="84"/>
      <c r="R4" s="85"/>
      <c r="S4" s="80"/>
      <c r="T4" s="84"/>
      <c r="U4" s="85"/>
      <c r="V4" s="80"/>
      <c r="W4" s="84"/>
      <c r="X4" s="85"/>
      <c r="Y4" s="80"/>
      <c r="Z4" s="84"/>
      <c r="AA4" s="85"/>
      <c r="AB4" s="80"/>
      <c r="AC4" s="84"/>
      <c r="AD4" s="85"/>
      <c r="AE4" s="80"/>
      <c r="AF4" s="84"/>
      <c r="AG4" s="85"/>
      <c r="AH4" s="80"/>
      <c r="AI4" s="84"/>
      <c r="AJ4" s="85"/>
      <c r="AK4" s="80"/>
      <c r="AL4" s="84"/>
      <c r="AM4" s="85"/>
      <c r="AN4" s="80"/>
      <c r="AO4" s="84"/>
      <c r="AP4" s="85"/>
      <c r="AQ4" s="80"/>
      <c r="AR4" s="84"/>
      <c r="AS4" s="85"/>
      <c r="AT4" s="80"/>
      <c r="AU4" s="84"/>
      <c r="AV4" s="85"/>
      <c r="AW4" s="80"/>
      <c r="AX4" s="84"/>
      <c r="AY4" s="85"/>
      <c r="AZ4" s="80"/>
      <c r="BA4" s="84"/>
      <c r="BB4" s="85"/>
      <c r="BC4" s="80"/>
      <c r="BD4" s="84"/>
      <c r="BE4" s="85"/>
      <c r="BF4" s="80"/>
      <c r="BG4" s="84"/>
      <c r="BH4" s="85"/>
      <c r="BI4" s="80"/>
      <c r="BJ4" s="84"/>
      <c r="BK4" s="85"/>
      <c r="BL4" s="80"/>
      <c r="BM4" s="84"/>
      <c r="BN4" s="85"/>
      <c r="BO4" s="80"/>
      <c r="BP4" s="84"/>
      <c r="BQ4" s="85"/>
      <c r="BR4" s="80"/>
      <c r="BS4" s="84"/>
      <c r="BT4" s="85"/>
      <c r="BU4" s="80"/>
      <c r="BV4" s="84"/>
      <c r="BW4" s="85"/>
      <c r="BX4" s="80"/>
      <c r="BY4" s="84"/>
      <c r="BZ4" s="85"/>
      <c r="CA4" s="80"/>
    </row>
    <row r="5" spans="1:79" ht="15" customHeight="1">
      <c r="A5" s="72" t="s">
        <v>11</v>
      </c>
      <c r="B5" s="72">
        <v>7</v>
      </c>
      <c r="C5" s="77" t="s">
        <v>12</v>
      </c>
      <c r="D5" s="83">
        <v>32400</v>
      </c>
      <c r="E5" s="73">
        <v>32435</v>
      </c>
      <c r="F5" s="79">
        <f>E5-D5</f>
        <v>35</v>
      </c>
      <c r="G5" s="86">
        <v>2100</v>
      </c>
      <c r="H5" s="83">
        <v>32477</v>
      </c>
      <c r="I5" s="79">
        <f>H5-E5</f>
        <v>42</v>
      </c>
      <c r="J5" s="86">
        <v>2520</v>
      </c>
      <c r="K5" s="83">
        <v>32519</v>
      </c>
      <c r="L5" s="79">
        <f>K5-H5</f>
        <v>42</v>
      </c>
      <c r="M5" s="86">
        <v>2000</v>
      </c>
      <c r="N5" s="73"/>
      <c r="O5" s="79"/>
      <c r="P5" s="79"/>
      <c r="Q5" s="73"/>
      <c r="R5" s="79"/>
      <c r="S5" s="79"/>
      <c r="T5" s="73"/>
      <c r="U5" s="79"/>
      <c r="V5" s="79"/>
      <c r="W5" s="73"/>
      <c r="X5" s="79"/>
      <c r="Y5" s="79"/>
      <c r="Z5" s="73"/>
      <c r="AA5" s="79"/>
      <c r="AB5" s="79"/>
      <c r="AC5" s="73"/>
      <c r="AD5" s="79"/>
      <c r="AE5" s="79"/>
      <c r="AF5" s="73"/>
      <c r="AG5" s="79"/>
      <c r="AH5" s="79"/>
      <c r="AI5" s="73"/>
      <c r="AJ5" s="79"/>
      <c r="AK5" s="79"/>
      <c r="AL5" s="73"/>
      <c r="AM5" s="79"/>
      <c r="AN5" s="79"/>
      <c r="AO5" s="73"/>
      <c r="AP5" s="79"/>
      <c r="AQ5" s="79"/>
      <c r="AR5" s="73"/>
      <c r="AS5" s="79"/>
      <c r="AT5" s="79"/>
      <c r="AU5" s="73"/>
      <c r="AV5" s="79"/>
      <c r="AW5" s="79"/>
      <c r="AX5" s="73"/>
      <c r="AY5" s="79"/>
      <c r="AZ5" s="79"/>
      <c r="BA5" s="73"/>
      <c r="BB5" s="79"/>
      <c r="BC5" s="79"/>
      <c r="BD5" s="73"/>
      <c r="BE5" s="79"/>
      <c r="BF5" s="79"/>
      <c r="BG5" s="73"/>
      <c r="BH5" s="79"/>
      <c r="BI5" s="79"/>
      <c r="BJ5" s="73"/>
      <c r="BK5" s="79"/>
      <c r="BL5" s="79"/>
      <c r="BM5" s="73"/>
      <c r="BN5" s="79"/>
      <c r="BO5" s="79"/>
      <c r="BP5" s="73"/>
      <c r="BQ5" s="79"/>
      <c r="BR5" s="79"/>
      <c r="BS5" s="73"/>
      <c r="BT5" s="79"/>
      <c r="BU5" s="79"/>
      <c r="BV5" s="73"/>
      <c r="BW5" s="79"/>
      <c r="BX5" s="79"/>
      <c r="BY5" s="73"/>
      <c r="BZ5" s="79"/>
      <c r="CA5" s="79"/>
    </row>
    <row r="6" spans="1:79" ht="15" customHeight="1">
      <c r="C6" s="66" t="s">
        <v>13</v>
      </c>
      <c r="D6" s="64"/>
      <c r="E6" s="78"/>
      <c r="F6" s="85"/>
      <c r="G6" s="81">
        <f>G5/F5</f>
        <v>60</v>
      </c>
      <c r="H6" s="78"/>
      <c r="I6" s="85"/>
      <c r="J6" s="81">
        <f>J5/I5</f>
        <v>60</v>
      </c>
      <c r="K6" s="78"/>
      <c r="L6" s="85"/>
      <c r="M6" s="81">
        <f>M5/L5</f>
        <v>47.61904761904762</v>
      </c>
      <c r="N6" s="78"/>
      <c r="O6" s="85"/>
      <c r="P6" s="81"/>
      <c r="Q6" s="78"/>
      <c r="R6" s="85"/>
      <c r="S6" s="81"/>
      <c r="T6" s="78"/>
      <c r="U6" s="85"/>
      <c r="V6" s="81"/>
      <c r="W6" s="78"/>
      <c r="X6" s="85"/>
      <c r="Y6" s="81"/>
      <c r="Z6" s="78"/>
      <c r="AA6" s="85"/>
      <c r="AB6" s="81"/>
      <c r="AC6" s="78"/>
      <c r="AD6" s="85"/>
      <c r="AE6" s="81"/>
      <c r="AF6" s="78"/>
      <c r="AG6" s="85"/>
      <c r="AH6" s="81"/>
      <c r="AI6" s="78"/>
      <c r="AJ6" s="85"/>
      <c r="AK6" s="81"/>
      <c r="AL6" s="78"/>
      <c r="AM6" s="85"/>
      <c r="AN6" s="81"/>
      <c r="AO6" s="78"/>
      <c r="AP6" s="85"/>
      <c r="AQ6" s="81"/>
      <c r="AR6" s="78"/>
      <c r="AS6" s="85"/>
      <c r="AT6" s="81"/>
      <c r="AU6" s="78"/>
      <c r="AV6" s="85"/>
      <c r="AW6" s="81"/>
      <c r="AX6" s="78"/>
      <c r="AY6" s="85"/>
      <c r="AZ6" s="81"/>
      <c r="BA6" s="78"/>
      <c r="BB6" s="85"/>
      <c r="BC6" s="81"/>
      <c r="BD6" s="78"/>
      <c r="BE6" s="85"/>
      <c r="BF6" s="81"/>
      <c r="BG6" s="78"/>
      <c r="BH6" s="85"/>
      <c r="BI6" s="81"/>
      <c r="BJ6" s="78"/>
      <c r="BK6" s="85"/>
      <c r="BL6" s="81"/>
      <c r="BM6" s="78"/>
      <c r="BN6" s="85"/>
      <c r="BO6" s="81"/>
      <c r="BP6" s="78"/>
      <c r="BQ6" s="85"/>
      <c r="BR6" s="81"/>
      <c r="BS6" s="78"/>
      <c r="BT6" s="85"/>
      <c r="BU6" s="81"/>
      <c r="BV6" s="78"/>
      <c r="BW6" s="85"/>
      <c r="BX6" s="81"/>
      <c r="BY6" s="78"/>
      <c r="BZ6" s="85"/>
      <c r="CA6" s="81"/>
    </row>
    <row r="7" spans="1:79" ht="15" customHeight="1">
      <c r="C7" s="66" t="s">
        <v>14</v>
      </c>
      <c r="D7" s="83">
        <v>17800</v>
      </c>
      <c r="E7" s="73">
        <v>17835</v>
      </c>
      <c r="F7" s="79">
        <f>E7-D7</f>
        <v>35</v>
      </c>
      <c r="G7" s="86">
        <v>10500</v>
      </c>
      <c r="H7" s="83">
        <v>17877</v>
      </c>
      <c r="I7" s="79">
        <f>H7-E7</f>
        <v>42</v>
      </c>
      <c r="J7" s="86">
        <v>12600</v>
      </c>
      <c r="K7" s="83">
        <v>17919</v>
      </c>
      <c r="L7" s="79">
        <f>K7-H7</f>
        <v>42</v>
      </c>
      <c r="M7" s="86">
        <v>12600</v>
      </c>
      <c r="N7" s="73"/>
      <c r="O7" s="79"/>
      <c r="P7" s="79"/>
      <c r="Q7" s="73"/>
      <c r="R7" s="79"/>
      <c r="S7" s="79"/>
      <c r="T7" s="73"/>
      <c r="U7" s="79"/>
      <c r="V7" s="79"/>
      <c r="W7" s="73"/>
      <c r="X7" s="79"/>
      <c r="Y7" s="79"/>
      <c r="Z7" s="73"/>
      <c r="AA7" s="79"/>
      <c r="AB7" s="79"/>
      <c r="AC7" s="73"/>
      <c r="AD7" s="79"/>
      <c r="AE7" s="79"/>
      <c r="AF7" s="73"/>
      <c r="AG7" s="79"/>
      <c r="AH7" s="79"/>
      <c r="AI7" s="73"/>
      <c r="AJ7" s="79"/>
      <c r="AK7" s="79"/>
      <c r="AL7" s="73"/>
      <c r="AM7" s="79"/>
      <c r="AN7" s="79"/>
      <c r="AO7" s="73"/>
      <c r="AP7" s="79"/>
      <c r="AQ7" s="79"/>
      <c r="AR7" s="73"/>
      <c r="AS7" s="79"/>
      <c r="AT7" s="79"/>
      <c r="AU7" s="73"/>
      <c r="AV7" s="79"/>
      <c r="AW7" s="79"/>
      <c r="AX7" s="73"/>
      <c r="AY7" s="79"/>
      <c r="AZ7" s="79"/>
      <c r="BA7" s="73"/>
      <c r="BB7" s="79"/>
      <c r="BC7" s="79"/>
      <c r="BD7" s="73"/>
      <c r="BE7" s="79"/>
      <c r="BF7" s="79"/>
      <c r="BG7" s="73"/>
      <c r="BH7" s="79"/>
      <c r="BI7" s="79"/>
      <c r="BJ7" s="73"/>
      <c r="BK7" s="79"/>
      <c r="BL7" s="79"/>
      <c r="BM7" s="73"/>
      <c r="BN7" s="79"/>
      <c r="BO7" s="79"/>
      <c r="BP7" s="73"/>
      <c r="BQ7" s="79"/>
      <c r="BR7" s="79"/>
      <c r="BS7" s="73"/>
      <c r="BT7" s="79"/>
      <c r="BU7" s="79"/>
      <c r="BV7" s="73"/>
      <c r="BW7" s="79"/>
      <c r="BX7" s="79"/>
      <c r="BY7" s="73"/>
      <c r="BZ7" s="79"/>
      <c r="CA7" s="79"/>
    </row>
    <row r="8" spans="1:79" ht="15" customHeight="1">
      <c r="C8" s="66" t="s">
        <v>15</v>
      </c>
      <c r="D8" s="64"/>
      <c r="E8" s="78"/>
      <c r="F8" s="85"/>
      <c r="G8" s="81">
        <f>G7/F7</f>
        <v>300</v>
      </c>
      <c r="H8" s="78"/>
      <c r="I8" s="85"/>
      <c r="J8" s="81">
        <f>J7/I7</f>
        <v>300</v>
      </c>
      <c r="K8" s="78"/>
      <c r="L8" s="85"/>
      <c r="M8" s="81">
        <v>300</v>
      </c>
      <c r="N8" s="78"/>
      <c r="O8" s="85"/>
      <c r="P8" s="81"/>
      <c r="Q8" s="78"/>
      <c r="R8" s="85"/>
      <c r="S8" s="81"/>
      <c r="T8" s="78"/>
      <c r="U8" s="85"/>
      <c r="V8" s="81"/>
      <c r="W8" s="78"/>
      <c r="X8" s="85"/>
      <c r="Y8" s="81"/>
      <c r="Z8" s="78"/>
      <c r="AA8" s="85"/>
      <c r="AB8" s="81"/>
      <c r="AC8" s="78"/>
      <c r="AD8" s="85"/>
      <c r="AE8" s="81"/>
      <c r="AF8" s="78"/>
      <c r="AG8" s="85"/>
      <c r="AH8" s="81"/>
      <c r="AI8" s="78"/>
      <c r="AJ8" s="85"/>
      <c r="AK8" s="81"/>
      <c r="AL8" s="78"/>
      <c r="AM8" s="85"/>
      <c r="AN8" s="81"/>
      <c r="AO8" s="78"/>
      <c r="AP8" s="85"/>
      <c r="AQ8" s="81"/>
      <c r="AR8" s="78"/>
      <c r="AS8" s="85"/>
      <c r="AT8" s="81"/>
      <c r="AU8" s="78"/>
      <c r="AV8" s="85"/>
      <c r="AW8" s="81"/>
      <c r="AX8" s="78"/>
      <c r="AY8" s="85"/>
      <c r="AZ8" s="81"/>
      <c r="BA8" s="78"/>
      <c r="BB8" s="85"/>
      <c r="BC8" s="81"/>
      <c r="BD8" s="78"/>
      <c r="BE8" s="85"/>
      <c r="BF8" s="81"/>
      <c r="BG8" s="78"/>
      <c r="BH8" s="85"/>
      <c r="BI8" s="81"/>
      <c r="BJ8" s="78"/>
      <c r="BK8" s="85"/>
      <c r="BL8" s="81"/>
      <c r="BM8" s="78"/>
      <c r="BN8" s="85"/>
      <c r="BO8" s="81"/>
      <c r="BP8" s="78"/>
      <c r="BQ8" s="85"/>
      <c r="BR8" s="81"/>
      <c r="BS8" s="78"/>
      <c r="BT8" s="85"/>
      <c r="BU8" s="81"/>
      <c r="BV8" s="78"/>
      <c r="BW8" s="85"/>
      <c r="BX8" s="81"/>
      <c r="BY8" s="78"/>
      <c r="BZ8" s="85"/>
      <c r="CA8" s="81"/>
    </row>
    <row r="9" spans="1:79" ht="15" customHeight="1">
      <c r="C9" s="66" t="s">
        <v>16</v>
      </c>
      <c r="D9" s="64"/>
      <c r="E9" s="78"/>
      <c r="F9" s="78"/>
      <c r="G9" s="86">
        <v>87500</v>
      </c>
      <c r="H9" s="78"/>
      <c r="I9" s="78"/>
      <c r="J9" s="86">
        <v>105000</v>
      </c>
      <c r="K9" s="78">
        <v>10000</v>
      </c>
      <c r="L9" s="78"/>
      <c r="M9" s="86">
        <v>90000</v>
      </c>
      <c r="N9" s="78"/>
      <c r="O9" s="78"/>
      <c r="P9" s="79">
        <v>0</v>
      </c>
      <c r="Q9" s="78"/>
      <c r="R9" s="78"/>
      <c r="S9" s="79">
        <v>0</v>
      </c>
      <c r="T9" s="78"/>
      <c r="U9" s="78"/>
      <c r="V9" s="79">
        <v>0</v>
      </c>
      <c r="W9" s="78"/>
      <c r="X9" s="78"/>
      <c r="Y9" s="79">
        <v>0</v>
      </c>
      <c r="Z9" s="78"/>
      <c r="AA9" s="78"/>
      <c r="AB9" s="79">
        <v>0</v>
      </c>
      <c r="AC9" s="78"/>
      <c r="AD9" s="78"/>
      <c r="AE9" s="79">
        <v>0</v>
      </c>
      <c r="AF9" s="78"/>
      <c r="AG9" s="78"/>
      <c r="AH9" s="79">
        <v>0</v>
      </c>
      <c r="AI9" s="78"/>
      <c r="AJ9" s="78"/>
      <c r="AK9" s="79">
        <v>0</v>
      </c>
      <c r="AL9" s="78"/>
      <c r="AM9" s="78"/>
      <c r="AN9" s="79">
        <v>0</v>
      </c>
      <c r="AO9" s="78"/>
      <c r="AP9" s="78"/>
      <c r="AQ9" s="79">
        <v>0</v>
      </c>
      <c r="AR9" s="78"/>
      <c r="AS9" s="78"/>
      <c r="AT9" s="79">
        <v>0</v>
      </c>
      <c r="AU9" s="78"/>
      <c r="AV9" s="78"/>
      <c r="AW9" s="79">
        <v>0</v>
      </c>
      <c r="AX9" s="78"/>
      <c r="AY9" s="78"/>
      <c r="AZ9" s="79">
        <v>0</v>
      </c>
      <c r="BA9" s="78"/>
      <c r="BB9" s="78"/>
      <c r="BC9" s="79">
        <v>0</v>
      </c>
      <c r="BD9" s="78"/>
      <c r="BE9" s="78"/>
      <c r="BF9" s="79">
        <v>0</v>
      </c>
      <c r="BG9" s="78"/>
      <c r="BH9" s="78"/>
      <c r="BI9" s="79">
        <v>0</v>
      </c>
      <c r="BJ9" s="78"/>
      <c r="BK9" s="78"/>
      <c r="BL9" s="79">
        <v>0</v>
      </c>
      <c r="BM9" s="78"/>
      <c r="BN9" s="78"/>
      <c r="BO9" s="79">
        <v>0</v>
      </c>
      <c r="BP9" s="78"/>
      <c r="BQ9" s="78"/>
      <c r="BR9" s="79">
        <v>0</v>
      </c>
      <c r="BS9" s="78"/>
      <c r="BT9" s="78"/>
      <c r="BU9" s="79">
        <v>21</v>
      </c>
      <c r="BV9" s="78"/>
      <c r="BW9" s="78"/>
      <c r="BX9" s="79">
        <v>22</v>
      </c>
      <c r="BY9" s="78"/>
      <c r="BZ9" s="78"/>
      <c r="CA9" s="79">
        <v>23</v>
      </c>
    </row>
    <row r="10" spans="1:79" ht="15" customHeight="1">
      <c r="C10" s="66" t="s">
        <v>17</v>
      </c>
      <c r="D10" s="64"/>
      <c r="E10" s="78"/>
      <c r="F10" s="85"/>
      <c r="G10" s="81">
        <v>179.50559000000001</v>
      </c>
      <c r="H10" s="78"/>
      <c r="I10" s="85"/>
      <c r="J10" s="81">
        <v>215.40671</v>
      </c>
      <c r="K10" s="78"/>
      <c r="L10" s="85"/>
      <c r="M10" s="81">
        <v>179.50559029999999</v>
      </c>
      <c r="N10" s="78"/>
      <c r="O10" s="85"/>
      <c r="P10" s="81"/>
      <c r="Q10" s="78"/>
      <c r="R10" s="85"/>
      <c r="S10" s="81"/>
      <c r="T10" s="78"/>
      <c r="U10" s="85"/>
      <c r="V10" s="81"/>
      <c r="W10" s="78"/>
      <c r="X10" s="85"/>
      <c r="Y10" s="81"/>
      <c r="Z10" s="78"/>
      <c r="AA10" s="85"/>
      <c r="AB10" s="81"/>
      <c r="AC10" s="78"/>
      <c r="AD10" s="85"/>
      <c r="AE10" s="81"/>
      <c r="AF10" s="78"/>
      <c r="AG10" s="85"/>
      <c r="AH10" s="81"/>
      <c r="AI10" s="78"/>
      <c r="AJ10" s="85"/>
      <c r="AK10" s="81"/>
      <c r="AL10" s="78"/>
      <c r="AM10" s="85"/>
      <c r="AN10" s="81"/>
      <c r="AO10" s="78"/>
      <c r="AP10" s="85"/>
      <c r="AQ10" s="81"/>
      <c r="AR10" s="78"/>
      <c r="AS10" s="85"/>
      <c r="AT10" s="81"/>
      <c r="AU10" s="78"/>
      <c r="AV10" s="85"/>
      <c r="AW10" s="81"/>
      <c r="AX10" s="78"/>
      <c r="AY10" s="85"/>
      <c r="AZ10" s="81"/>
      <c r="BA10" s="78"/>
      <c r="BB10" s="85"/>
      <c r="BC10" s="81"/>
      <c r="BD10" s="78"/>
      <c r="BE10" s="85"/>
      <c r="BF10" s="81"/>
      <c r="BG10" s="78"/>
      <c r="BH10" s="85"/>
      <c r="BI10" s="81"/>
      <c r="BJ10" s="78"/>
      <c r="BK10" s="85"/>
      <c r="BL10" s="81"/>
      <c r="BM10" s="78"/>
      <c r="BN10" s="85"/>
      <c r="BO10" s="81"/>
      <c r="BP10" s="78"/>
      <c r="BQ10" s="85"/>
      <c r="BR10" s="81"/>
      <c r="BS10" s="78"/>
      <c r="BT10" s="85"/>
      <c r="BU10" s="81"/>
      <c r="BV10" s="78"/>
      <c r="BW10" s="85"/>
      <c r="BX10" s="81"/>
      <c r="BY10" s="78"/>
      <c r="BZ10" s="85"/>
      <c r="CA10" s="81"/>
    </row>
    <row r="11" spans="1:79">
      <c r="C11" s="67" t="s">
        <v>18</v>
      </c>
      <c r="D11" s="64"/>
      <c r="E11" s="78"/>
      <c r="F11" s="76"/>
      <c r="G11" s="79">
        <v>70000</v>
      </c>
      <c r="H11" s="78"/>
      <c r="I11" s="85"/>
      <c r="J11" s="79">
        <v>85000</v>
      </c>
      <c r="K11" s="78"/>
      <c r="L11" s="85"/>
      <c r="M11" s="79">
        <v>90000</v>
      </c>
      <c r="N11" s="78"/>
      <c r="O11" s="85"/>
      <c r="P11" s="79">
        <v>0</v>
      </c>
      <c r="Q11" s="78"/>
      <c r="R11" s="85"/>
      <c r="S11" s="79">
        <v>0</v>
      </c>
      <c r="T11" s="78"/>
      <c r="U11" s="85"/>
      <c r="V11" s="79">
        <v>0</v>
      </c>
      <c r="W11" s="78"/>
      <c r="X11" s="85"/>
      <c r="Y11" s="79">
        <v>0</v>
      </c>
      <c r="Z11" s="78"/>
      <c r="AA11" s="85"/>
      <c r="AB11" s="79">
        <v>0</v>
      </c>
      <c r="AC11" s="78"/>
      <c r="AD11" s="85"/>
      <c r="AE11" s="79">
        <v>0</v>
      </c>
      <c r="AF11" s="78"/>
      <c r="AG11" s="85"/>
      <c r="AH11" s="79">
        <v>0</v>
      </c>
      <c r="AI11" s="78"/>
      <c r="AJ11" s="85"/>
      <c r="AK11" s="79">
        <v>0</v>
      </c>
      <c r="AL11" s="78"/>
      <c r="AM11" s="85"/>
      <c r="AN11" s="79">
        <v>0</v>
      </c>
      <c r="AO11" s="78"/>
      <c r="AP11" s="85"/>
      <c r="AQ11" s="79">
        <v>0</v>
      </c>
      <c r="AR11" s="78"/>
      <c r="AS11" s="85"/>
      <c r="AT11" s="79">
        <v>0</v>
      </c>
      <c r="AU11" s="78"/>
      <c r="AV11" s="85"/>
      <c r="AW11" s="79">
        <v>0</v>
      </c>
      <c r="AX11" s="78"/>
      <c r="AY11" s="85"/>
      <c r="AZ11" s="79">
        <v>0</v>
      </c>
      <c r="BA11" s="78"/>
      <c r="BB11" s="85"/>
      <c r="BC11" s="79">
        <v>0</v>
      </c>
      <c r="BD11" s="78"/>
      <c r="BE11" s="85"/>
      <c r="BF11" s="79">
        <v>0</v>
      </c>
      <c r="BG11" s="78"/>
      <c r="BH11" s="85"/>
      <c r="BI11" s="79">
        <v>0</v>
      </c>
      <c r="BJ11" s="78"/>
      <c r="BK11" s="85"/>
      <c r="BL11" s="79">
        <v>0</v>
      </c>
      <c r="BM11" s="78"/>
      <c r="BN11" s="85"/>
      <c r="BO11" s="79">
        <v>0</v>
      </c>
      <c r="BP11" s="78"/>
      <c r="BQ11" s="85"/>
      <c r="BR11" s="79">
        <v>0</v>
      </c>
      <c r="BS11" s="78"/>
      <c r="BT11" s="85"/>
      <c r="BU11" s="79">
        <v>21</v>
      </c>
      <c r="BV11" s="78"/>
      <c r="BW11" s="85"/>
      <c r="BX11" s="79">
        <v>22</v>
      </c>
      <c r="BY11" s="78"/>
      <c r="BZ11" s="85"/>
      <c r="CA11" s="79">
        <v>23</v>
      </c>
    </row>
    <row r="12" spans="1:79">
      <c r="C12" s="67" t="s">
        <v>19</v>
      </c>
      <c r="D12" s="64"/>
      <c r="E12" s="78"/>
      <c r="F12" s="85"/>
      <c r="G12" s="81">
        <v>174.37685999999999</v>
      </c>
      <c r="H12" s="78"/>
      <c r="I12" s="85"/>
      <c r="J12" s="81">
        <v>174.37685999999999</v>
      </c>
      <c r="K12" s="78"/>
      <c r="L12" s="85"/>
      <c r="M12" s="81">
        <v>164.1193969</v>
      </c>
      <c r="N12" s="78"/>
      <c r="O12" s="85"/>
      <c r="P12" s="81"/>
      <c r="Q12" s="78"/>
      <c r="R12" s="85"/>
      <c r="S12" s="81"/>
      <c r="T12" s="78"/>
      <c r="U12" s="85"/>
      <c r="V12" s="81"/>
      <c r="W12" s="78"/>
      <c r="X12" s="85"/>
      <c r="Y12" s="81"/>
      <c r="Z12" s="78"/>
      <c r="AA12" s="85"/>
      <c r="AB12" s="81"/>
      <c r="AC12" s="78"/>
      <c r="AD12" s="85"/>
      <c r="AE12" s="81"/>
      <c r="AF12" s="78"/>
      <c r="AG12" s="85"/>
      <c r="AH12" s="81"/>
      <c r="AI12" s="78"/>
      <c r="AJ12" s="85"/>
      <c r="AK12" s="81"/>
      <c r="AL12" s="78"/>
      <c r="AM12" s="85"/>
      <c r="AN12" s="81"/>
      <c r="AO12" s="78"/>
      <c r="AP12" s="85"/>
      <c r="AQ12" s="81"/>
      <c r="AR12" s="78"/>
      <c r="AS12" s="85"/>
      <c r="AT12" s="81"/>
      <c r="AU12" s="78"/>
      <c r="AV12" s="85"/>
      <c r="AW12" s="81"/>
      <c r="AX12" s="78"/>
      <c r="AY12" s="85"/>
      <c r="AZ12" s="81"/>
      <c r="BA12" s="78"/>
      <c r="BB12" s="85"/>
      <c r="BC12" s="81"/>
      <c r="BD12" s="78"/>
      <c r="BE12" s="85"/>
      <c r="BF12" s="81"/>
      <c r="BG12" s="78"/>
      <c r="BH12" s="85"/>
      <c r="BI12" s="81"/>
      <c r="BJ12" s="78"/>
      <c r="BK12" s="85"/>
      <c r="BL12" s="81"/>
      <c r="BM12" s="78"/>
      <c r="BN12" s="85"/>
      <c r="BO12" s="81"/>
      <c r="BP12" s="78"/>
      <c r="BQ12" s="85"/>
      <c r="BR12" s="81"/>
      <c r="BS12" s="78"/>
      <c r="BT12" s="85"/>
      <c r="BU12" s="81"/>
      <c r="BV12" s="78"/>
      <c r="BW12" s="85"/>
      <c r="BX12" s="81"/>
      <c r="BY12" s="78"/>
      <c r="BZ12" s="85"/>
      <c r="CA12" s="81"/>
    </row>
    <row r="14" spans="1:79">
      <c r="A14" s="4"/>
      <c r="B14" s="1" t="s">
        <v>20</v>
      </c>
    </row>
    <row r="15" spans="1:79">
      <c r="A15" s="5"/>
      <c r="B15" s="1" t="s">
        <v>21</v>
      </c>
    </row>
    <row r="16" spans="1:79">
      <c r="A16" s="6"/>
      <c r="B16" s="1" t="s">
        <v>22</v>
      </c>
      <c r="G16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6"/>
  <sheetViews>
    <sheetView zoomScale="16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G9" sqref="G9"/>
    </sheetView>
  </sheetViews>
  <sheetFormatPr defaultColWidth="10" defaultRowHeight="15"/>
  <cols>
    <col min="1" max="1" width="14" style="59" bestFit="1" customWidth="1"/>
    <col min="2" max="2" width="12.7109375" style="59" bestFit="1" customWidth="1"/>
    <col min="3" max="3" width="24.140625" style="1" bestFit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A8" s="26" t="s">
        <v>27</v>
      </c>
      <c r="B8" s="22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4.1" customHeight="1">
      <c r="A9" s="27" t="s">
        <v>28</v>
      </c>
      <c r="B9" s="23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A11" s="47" t="s">
        <v>29</v>
      </c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16"/>
  <sheetViews>
    <sheetView zoomScale="130" zoomScaleNormal="130" workbookViewId="0">
      <pane xSplit="3" ySplit="11" topLeftCell="J12" activePane="bottomRight" state="frozen"/>
      <selection pane="topRight" activeCell="D1" sqref="D1"/>
      <selection pane="bottomLeft" activeCell="A12" sqref="A12"/>
      <selection pane="bottomRight" activeCell="M4" sqref="M4"/>
    </sheetView>
  </sheetViews>
  <sheetFormatPr defaultColWidth="10" defaultRowHeight="15"/>
  <cols>
    <col min="1" max="1" width="13.140625" style="59" bestFit="1" customWidth="1"/>
    <col min="2" max="2" width="25.28515625" style="59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24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69" t="s">
        <v>0</v>
      </c>
      <c r="B1" s="71">
        <v>1006</v>
      </c>
      <c r="C1" s="61" t="s">
        <v>1</v>
      </c>
      <c r="D1" s="62">
        <v>45962</v>
      </c>
      <c r="E1" s="62">
        <v>45992</v>
      </c>
      <c r="F1" s="85" t="s">
        <v>2</v>
      </c>
      <c r="G1" s="75">
        <v>45962</v>
      </c>
      <c r="H1" s="62">
        <v>46023</v>
      </c>
      <c r="I1" s="85" t="s">
        <v>2</v>
      </c>
      <c r="J1" s="75">
        <v>45992</v>
      </c>
      <c r="K1" s="62">
        <v>46054</v>
      </c>
      <c r="L1" s="85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69" t="s">
        <v>3</v>
      </c>
      <c r="B2" s="70" t="s">
        <v>4</v>
      </c>
      <c r="C2" s="65"/>
      <c r="D2" s="63" t="s">
        <v>5</v>
      </c>
      <c r="E2" s="60" t="s">
        <v>5</v>
      </c>
      <c r="F2" s="60" t="s">
        <v>5</v>
      </c>
      <c r="G2" s="60" t="s">
        <v>6</v>
      </c>
      <c r="H2" s="60" t="s">
        <v>5</v>
      </c>
      <c r="I2" s="60" t="s">
        <v>5</v>
      </c>
      <c r="J2" s="60" t="s">
        <v>6</v>
      </c>
      <c r="K2" s="60" t="s">
        <v>5</v>
      </c>
      <c r="L2" s="6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69" t="s">
        <v>7</v>
      </c>
      <c r="B3" s="70">
        <v>487.44999999999987</v>
      </c>
      <c r="C3" s="66" t="s">
        <v>8</v>
      </c>
      <c r="D3" s="83">
        <v>245000</v>
      </c>
      <c r="E3" s="73">
        <v>245035</v>
      </c>
      <c r="F3" s="79">
        <f>E3-D3</f>
        <v>35</v>
      </c>
      <c r="G3" s="82">
        <f>F3*G4</f>
        <v>210</v>
      </c>
      <c r="H3" s="83">
        <v>245077</v>
      </c>
      <c r="I3" s="79">
        <f>H3-E3</f>
        <v>42</v>
      </c>
      <c r="J3" s="82">
        <f>I3*J4</f>
        <v>252</v>
      </c>
      <c r="K3" s="83">
        <v>245112</v>
      </c>
      <c r="L3" s="79">
        <f>K3-H3</f>
        <v>35</v>
      </c>
      <c r="M3" s="16">
        <f>M4*L3</f>
        <v>-3.629604125164982E-2</v>
      </c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.95" customHeight="1">
      <c r="A4" s="68" t="s">
        <v>9</v>
      </c>
      <c r="B4" s="72"/>
      <c r="C4" s="66" t="s">
        <v>10</v>
      </c>
      <c r="D4" s="74"/>
      <c r="E4" s="84"/>
      <c r="F4" s="85"/>
      <c r="G4" s="80">
        <f>'0. ГИРА'!G4</f>
        <v>6</v>
      </c>
      <c r="H4" s="84"/>
      <c r="I4" s="85"/>
      <c r="J4" s="80">
        <f>'0. ГИРА'!J4</f>
        <v>6</v>
      </c>
      <c r="K4" s="84"/>
      <c r="L4" s="85"/>
      <c r="M4" s="18">
        <f>'0. ГИРА'!M4</f>
        <v>-1.0370297500471378E-3</v>
      </c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A5" s="72" t="s">
        <v>11</v>
      </c>
      <c r="B5" s="72">
        <v>7</v>
      </c>
      <c r="C5" s="77" t="s">
        <v>12</v>
      </c>
      <c r="D5" s="83">
        <v>32400</v>
      </c>
      <c r="E5" s="73">
        <v>32435</v>
      </c>
      <c r="F5" s="79">
        <f>E5-D5</f>
        <v>35</v>
      </c>
      <c r="G5" s="86">
        <v>2100</v>
      </c>
      <c r="H5" s="83">
        <v>32477</v>
      </c>
      <c r="I5" s="79">
        <f>H5-E5</f>
        <v>42</v>
      </c>
      <c r="J5" s="82">
        <f>I5*J6</f>
        <v>2520</v>
      </c>
      <c r="K5" s="83">
        <v>32512</v>
      </c>
      <c r="L5" s="79">
        <f>K5-H5</f>
        <v>35</v>
      </c>
      <c r="M5" s="16">
        <f>L5*M6</f>
        <v>1666.6666666666667</v>
      </c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C6" s="66" t="s">
        <v>13</v>
      </c>
      <c r="D6" s="64"/>
      <c r="E6" s="78"/>
      <c r="F6" s="85"/>
      <c r="G6" s="81">
        <v>60</v>
      </c>
      <c r="H6" s="78"/>
      <c r="I6" s="85"/>
      <c r="J6" s="80">
        <f>'0. ГИРА'!J6</f>
        <v>60</v>
      </c>
      <c r="K6" s="78"/>
      <c r="L6" s="85"/>
      <c r="M6" s="18">
        <f>'0. ГИРА'!M6</f>
        <v>47.61904761904762</v>
      </c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C7" s="66" t="s">
        <v>14</v>
      </c>
      <c r="D7" s="83">
        <v>17800</v>
      </c>
      <c r="E7" s="73">
        <v>17835</v>
      </c>
      <c r="F7" s="79">
        <f>E7-D7</f>
        <v>35</v>
      </c>
      <c r="G7" s="86">
        <v>10500</v>
      </c>
      <c r="H7" s="83">
        <v>17877</v>
      </c>
      <c r="I7" s="79">
        <f>H7-E7</f>
        <v>42</v>
      </c>
      <c r="J7" s="82">
        <f>I7*J8</f>
        <v>12600</v>
      </c>
      <c r="K7" s="83">
        <v>17912</v>
      </c>
      <c r="L7" s="79">
        <f>K7-H7</f>
        <v>35</v>
      </c>
      <c r="M7" s="50">
        <f>M8*L7</f>
        <v>10500</v>
      </c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C8" s="66" t="s">
        <v>15</v>
      </c>
      <c r="D8" s="64"/>
      <c r="E8" s="78"/>
      <c r="F8" s="85"/>
      <c r="G8" s="81">
        <v>300</v>
      </c>
      <c r="H8" s="78"/>
      <c r="I8" s="85"/>
      <c r="J8" s="80">
        <f>'0. ГИРА'!J8</f>
        <v>300</v>
      </c>
      <c r="K8" s="78"/>
      <c r="L8" s="85"/>
      <c r="M8" s="52">
        <f>'0. ГИРА'!M8</f>
        <v>300</v>
      </c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" customHeight="1">
      <c r="C9" s="66" t="s">
        <v>16</v>
      </c>
      <c r="D9" s="64"/>
      <c r="E9" s="78"/>
      <c r="F9" s="78"/>
      <c r="G9" s="86">
        <v>87500</v>
      </c>
      <c r="H9" s="78"/>
      <c r="I9" s="78"/>
      <c r="J9" s="86">
        <v>105000</v>
      </c>
      <c r="K9" s="78"/>
      <c r="L9" s="78"/>
      <c r="M9" s="16">
        <f>M10*$B3</f>
        <v>87499.999991734978</v>
      </c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66" t="s">
        <v>17</v>
      </c>
      <c r="D10" s="64"/>
      <c r="E10" s="78"/>
      <c r="F10" s="85"/>
      <c r="G10" s="81">
        <v>179.50559031695559</v>
      </c>
      <c r="H10" s="78"/>
      <c r="I10" s="85"/>
      <c r="J10" s="81">
        <v>215.4067083803468</v>
      </c>
      <c r="K10" s="78"/>
      <c r="L10" s="85"/>
      <c r="M10" s="18">
        <f>'0. ГИРА'!M10</f>
        <v>179.50559029999999</v>
      </c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C11" s="67" t="s">
        <v>18</v>
      </c>
      <c r="D11" s="64"/>
      <c r="E11" s="78"/>
      <c r="F11" s="76"/>
      <c r="G11" s="79">
        <v>70000</v>
      </c>
      <c r="H11" s="78"/>
      <c r="I11" s="85"/>
      <c r="J11" s="79">
        <v>85000</v>
      </c>
      <c r="K11" s="78"/>
      <c r="L11" s="8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67" t="s">
        <v>19</v>
      </c>
      <c r="D12" s="64"/>
      <c r="E12" s="78"/>
      <c r="F12" s="85"/>
      <c r="G12" s="81">
        <v>174.37685916504259</v>
      </c>
      <c r="H12" s="78"/>
      <c r="I12" s="85"/>
      <c r="J12" s="81">
        <v>174.37685916504259</v>
      </c>
      <c r="K12" s="78"/>
      <c r="L12" s="85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" sqref="D3"/>
    </sheetView>
  </sheetViews>
  <sheetFormatPr defaultColWidth="10" defaultRowHeight="15"/>
  <cols>
    <col min="1" max="1" width="13.140625" style="59" bestFit="1" customWidth="1"/>
    <col min="2" max="2" width="18.28515625" style="59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.9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A5" s="25"/>
      <c r="B5" s="25"/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A8" s="26" t="s">
        <v>27</v>
      </c>
      <c r="B8" s="23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" customHeight="1">
      <c r="A9" s="27" t="s">
        <v>28</v>
      </c>
      <c r="B9" s="22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A11" s="47" t="s">
        <v>29</v>
      </c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16" sqref="H16"/>
    </sheetView>
  </sheetViews>
  <sheetFormatPr defaultColWidth="10" defaultRowHeight="15"/>
  <cols>
    <col min="1" max="1" width="13.140625" style="59" bestFit="1" customWidth="1"/>
    <col min="2" max="2" width="17.7109375" style="59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.9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A5" s="25"/>
      <c r="B5" s="25"/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A8" s="26" t="s">
        <v>27</v>
      </c>
      <c r="B8" s="23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" customHeight="1">
      <c r="A9" s="27" t="s">
        <v>28</v>
      </c>
      <c r="B9" s="22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A11" s="47" t="s">
        <v>29</v>
      </c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20" sqref="J20"/>
    </sheetView>
  </sheetViews>
  <sheetFormatPr defaultColWidth="10" defaultRowHeight="15"/>
  <cols>
    <col min="1" max="1" width="13.140625" style="59" bestFit="1" customWidth="1"/>
    <col min="2" max="2" width="21.140625" style="59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.9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A5" s="25"/>
      <c r="B5" s="25"/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A8" s="26" t="s">
        <v>27</v>
      </c>
      <c r="B8" s="23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" customHeight="1">
      <c r="A9" s="27" t="s">
        <v>28</v>
      </c>
      <c r="B9" s="22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A11" s="47" t="s">
        <v>29</v>
      </c>
      <c r="B11" t="s">
        <v>30</v>
      </c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Z14" sqref="BZ14"/>
    </sheetView>
  </sheetViews>
  <sheetFormatPr defaultColWidth="10" defaultRowHeight="15"/>
  <cols>
    <col min="1" max="1" width="13.140625" style="59" bestFit="1" customWidth="1"/>
    <col min="2" max="2" width="20.42578125" style="59" bestFit="1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s="2" customFormat="1" ht="15.9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15" customHeight="1">
      <c r="A5" s="25"/>
      <c r="B5" s="25"/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15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" customHeight="1">
      <c r="A8" s="26" t="s">
        <v>27</v>
      </c>
      <c r="B8" s="23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" customHeight="1">
      <c r="A9" s="27" t="s">
        <v>28</v>
      </c>
      <c r="B9" s="22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A12" s="47" t="s">
        <v>29</v>
      </c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21" sqref="F21"/>
    </sheetView>
  </sheetViews>
  <sheetFormatPr defaultColWidth="11.42578125" defaultRowHeight="15"/>
  <cols>
    <col min="1" max="1" width="14.85546875" style="59" customWidth="1"/>
    <col min="2" max="2" width="16.42578125" style="59" customWidth="1"/>
    <col min="3" max="3" width="25.42578125" style="1" customWidth="1"/>
    <col min="4" max="4" width="7.42578125" style="59" bestFit="1" customWidth="1"/>
    <col min="5" max="5" width="11.28515625" style="59" customWidth="1"/>
    <col min="6" max="6" width="9.85546875" style="1" bestFit="1" customWidth="1"/>
    <col min="7" max="7" width="13.140625" style="1" customWidth="1"/>
    <col min="8" max="8" width="12.42578125" style="59" customWidth="1"/>
    <col min="9" max="9" width="9.85546875" style="1" bestFit="1" customWidth="1"/>
    <col min="10" max="10" width="13.7109375" style="1" customWidth="1"/>
    <col min="11" max="11" width="7.85546875" style="59" bestFit="1" customWidth="1"/>
    <col min="12" max="12" width="9.85546875" style="1" bestFit="1" customWidth="1"/>
    <col min="13" max="13" width="16.140625" style="1" customWidth="1"/>
    <col min="14" max="14" width="7.42578125" style="59" bestFit="1" customWidth="1"/>
    <col min="15" max="15" width="9.85546875" style="1" bestFit="1" customWidth="1"/>
    <col min="16" max="16" width="8.28515625" style="1" bestFit="1" customWidth="1"/>
    <col min="17" max="17" width="6.42578125" style="59" bestFit="1" customWidth="1"/>
    <col min="18" max="18" width="9.85546875" style="1" bestFit="1" customWidth="1"/>
    <col min="19" max="19" width="8.28515625" style="1" bestFit="1" customWidth="1"/>
    <col min="20" max="20" width="7" style="59" bestFit="1" customWidth="1"/>
    <col min="21" max="21" width="9.85546875" style="1" bestFit="1" customWidth="1"/>
    <col min="22" max="22" width="8.28515625" style="1" bestFit="1" customWidth="1"/>
    <col min="23" max="23" width="8" style="59" bestFit="1" customWidth="1"/>
    <col min="24" max="24" width="9.85546875" style="1" bestFit="1" customWidth="1"/>
    <col min="25" max="25" width="8.28515625" style="1" bestFit="1" customWidth="1"/>
    <col min="26" max="26" width="8" style="59" bestFit="1" customWidth="1"/>
    <col min="27" max="27" width="9.85546875" style="1" bestFit="1" customWidth="1"/>
    <col min="28" max="28" width="8.28515625" style="1" bestFit="1" customWidth="1"/>
    <col min="29" max="29" width="6.140625" style="59" bestFit="1" customWidth="1"/>
    <col min="30" max="30" width="9.85546875" style="1" bestFit="1" customWidth="1"/>
    <col min="31" max="31" width="8.28515625" style="1" bestFit="1" customWidth="1"/>
    <col min="32" max="32" width="7.140625" style="59" bestFit="1" customWidth="1"/>
    <col min="33" max="33" width="9.85546875" style="1" bestFit="1" customWidth="1"/>
    <col min="34" max="34" width="8.28515625" style="1" bestFit="1" customWidth="1"/>
    <col min="35" max="35" width="6.28515625" style="59" bestFit="1" customWidth="1"/>
    <col min="36" max="36" width="9.85546875" style="1" bestFit="1" customWidth="1"/>
    <col min="37" max="37" width="8.28515625" style="1" bestFit="1" customWidth="1"/>
    <col min="38" max="38" width="7.42578125" style="59" bestFit="1" customWidth="1"/>
    <col min="39" max="39" width="9.85546875" style="1" bestFit="1" customWidth="1"/>
    <col min="40" max="40" width="8.28515625" style="1" bestFit="1" customWidth="1"/>
    <col min="41" max="41" width="6.42578125" style="59" bestFit="1" customWidth="1"/>
    <col min="42" max="42" width="9.85546875" style="1" bestFit="1" customWidth="1"/>
    <col min="43" max="43" width="8.28515625" style="1" bestFit="1" customWidth="1"/>
    <col min="44" max="44" width="6.42578125" style="59" bestFit="1" customWidth="1"/>
    <col min="45" max="45" width="9.85546875" style="1" bestFit="1" customWidth="1"/>
    <col min="46" max="46" width="8.28515625" style="1" bestFit="1" customWidth="1"/>
    <col min="47" max="47" width="7.85546875" style="59" bestFit="1" customWidth="1"/>
    <col min="48" max="48" width="9.85546875" style="59" bestFit="1" customWidth="1"/>
    <col min="49" max="49" width="8.28515625" style="59" bestFit="1" customWidth="1"/>
    <col min="50" max="50" width="7.42578125" style="59" bestFit="1" customWidth="1"/>
    <col min="51" max="51" width="9.85546875" style="59" bestFit="1" customWidth="1"/>
    <col min="52" max="52" width="8.28515625" style="59" bestFit="1" customWidth="1"/>
    <col min="53" max="53" width="6.42578125" style="59" bestFit="1" customWidth="1"/>
    <col min="54" max="54" width="9.85546875" style="59" bestFit="1" customWidth="1"/>
    <col min="55" max="55" width="8.28515625" style="59" bestFit="1" customWidth="1"/>
    <col min="56" max="56" width="7" style="59" bestFit="1" customWidth="1"/>
    <col min="57" max="57" width="9.85546875" style="59" bestFit="1" customWidth="1"/>
    <col min="58" max="58" width="8.28515625" style="59" bestFit="1" customWidth="1"/>
    <col min="59" max="59" width="8" style="59" bestFit="1" customWidth="1"/>
    <col min="60" max="60" width="9.85546875" style="59" bestFit="1" customWidth="1"/>
    <col min="61" max="61" width="8.28515625" style="59" bestFit="1" customWidth="1"/>
    <col min="62" max="62" width="8" style="59" bestFit="1" customWidth="1"/>
    <col min="63" max="63" width="9.85546875" style="59" bestFit="1" customWidth="1"/>
    <col min="64" max="64" width="8.28515625" style="59" bestFit="1" customWidth="1"/>
    <col min="65" max="65" width="6.140625" style="59" bestFit="1" customWidth="1"/>
    <col min="66" max="66" width="9.85546875" style="59" bestFit="1" customWidth="1"/>
    <col min="67" max="67" width="8.28515625" style="59" bestFit="1" customWidth="1"/>
    <col min="68" max="68" width="7.140625" style="59" bestFit="1" customWidth="1"/>
    <col min="69" max="69" width="9.85546875" style="59" bestFit="1" customWidth="1"/>
    <col min="70" max="70" width="8.28515625" style="59" bestFit="1" customWidth="1"/>
    <col min="71" max="71" width="6.28515625" style="59" bestFit="1" customWidth="1"/>
    <col min="72" max="72" width="9.85546875" style="59" bestFit="1" customWidth="1"/>
    <col min="73" max="73" width="8.28515625" style="59" bestFit="1" customWidth="1"/>
    <col min="74" max="74" width="7.42578125" style="59" bestFit="1" customWidth="1"/>
    <col min="75" max="75" width="9.85546875" style="59" bestFit="1" customWidth="1"/>
    <col min="76" max="76" width="8.28515625" style="59" bestFit="1" customWidth="1"/>
    <col min="77" max="77" width="6.42578125" style="59" bestFit="1" customWidth="1"/>
    <col min="78" max="78" width="9.85546875" style="59" bestFit="1" customWidth="1"/>
    <col min="79" max="79" width="8.28515625" style="59" bestFit="1" customWidth="1"/>
    <col min="80" max="80" width="6.42578125" style="59" bestFit="1" customWidth="1"/>
    <col min="81" max="81" width="9.85546875" style="59" bestFit="1" customWidth="1"/>
    <col min="82" max="82" width="6.42578125" style="59" bestFit="1" customWidth="1"/>
  </cols>
  <sheetData>
    <row r="1" spans="1:82">
      <c r="A1" s="22" t="s">
        <v>9</v>
      </c>
      <c r="B1" s="22"/>
      <c r="C1" s="11" t="s">
        <v>1</v>
      </c>
      <c r="D1" s="12">
        <v>45962</v>
      </c>
      <c r="E1" s="12">
        <v>45992</v>
      </c>
      <c r="F1" s="53" t="s">
        <v>2</v>
      </c>
      <c r="G1" s="54">
        <v>45962</v>
      </c>
      <c r="H1" s="12">
        <v>46023</v>
      </c>
      <c r="I1" s="53" t="s">
        <v>2</v>
      </c>
      <c r="J1" s="54">
        <v>45992</v>
      </c>
      <c r="K1" s="12">
        <v>46054</v>
      </c>
      <c r="L1" s="53" t="s">
        <v>2</v>
      </c>
      <c r="M1" s="54">
        <v>46023</v>
      </c>
      <c r="N1" s="12">
        <v>46082</v>
      </c>
      <c r="O1" s="53" t="s">
        <v>2</v>
      </c>
      <c r="P1" s="54">
        <v>46054</v>
      </c>
      <c r="Q1" s="12">
        <v>46113</v>
      </c>
      <c r="R1" s="53" t="s">
        <v>2</v>
      </c>
      <c r="S1" s="54">
        <v>46082</v>
      </c>
      <c r="T1" s="12">
        <v>46143</v>
      </c>
      <c r="U1" s="53" t="s">
        <v>2</v>
      </c>
      <c r="V1" s="54">
        <v>46113</v>
      </c>
      <c r="W1" s="12">
        <v>46174</v>
      </c>
      <c r="X1" s="53" t="s">
        <v>2</v>
      </c>
      <c r="Y1" s="54">
        <v>46143</v>
      </c>
      <c r="Z1" s="12">
        <v>46204</v>
      </c>
      <c r="AA1" s="53" t="s">
        <v>2</v>
      </c>
      <c r="AB1" s="54">
        <v>46174</v>
      </c>
      <c r="AC1" s="12">
        <v>46235</v>
      </c>
      <c r="AD1" s="53" t="s">
        <v>2</v>
      </c>
      <c r="AE1" s="54">
        <v>46204</v>
      </c>
      <c r="AF1" s="12">
        <v>46266</v>
      </c>
      <c r="AG1" s="53" t="s">
        <v>2</v>
      </c>
      <c r="AH1" s="54">
        <v>46235</v>
      </c>
      <c r="AI1" s="12">
        <v>46296</v>
      </c>
      <c r="AJ1" s="53" t="s">
        <v>2</v>
      </c>
      <c r="AK1" s="54">
        <v>46266</v>
      </c>
      <c r="AL1" s="12">
        <v>46327</v>
      </c>
      <c r="AM1" s="53" t="s">
        <v>2</v>
      </c>
      <c r="AN1" s="54">
        <v>46296</v>
      </c>
      <c r="AO1" s="12">
        <v>46357</v>
      </c>
      <c r="AP1" s="53" t="s">
        <v>2</v>
      </c>
      <c r="AQ1" s="54">
        <v>46327</v>
      </c>
      <c r="AR1" s="12">
        <v>46388</v>
      </c>
      <c r="AS1" s="53" t="s">
        <v>2</v>
      </c>
      <c r="AT1" s="54">
        <v>46357</v>
      </c>
      <c r="AU1" s="12">
        <v>46419</v>
      </c>
      <c r="AV1" s="53" t="s">
        <v>2</v>
      </c>
      <c r="AW1" s="54">
        <v>46388</v>
      </c>
      <c r="AX1" s="12">
        <v>46447</v>
      </c>
      <c r="AY1" s="53" t="s">
        <v>2</v>
      </c>
      <c r="AZ1" s="54">
        <v>46419</v>
      </c>
      <c r="BA1" s="12">
        <v>46478</v>
      </c>
      <c r="BB1" s="53" t="s">
        <v>2</v>
      </c>
      <c r="BC1" s="54">
        <v>46447</v>
      </c>
      <c r="BD1" s="12">
        <v>46508</v>
      </c>
      <c r="BE1" s="53" t="s">
        <v>2</v>
      </c>
      <c r="BF1" s="54">
        <v>46478</v>
      </c>
      <c r="BG1" s="12">
        <v>46539</v>
      </c>
      <c r="BH1" s="53" t="s">
        <v>2</v>
      </c>
      <c r="BI1" s="54">
        <v>46508</v>
      </c>
      <c r="BJ1" s="12">
        <v>46569</v>
      </c>
      <c r="BK1" s="53" t="s">
        <v>2</v>
      </c>
      <c r="BL1" s="54">
        <v>46539</v>
      </c>
      <c r="BM1" s="12">
        <v>46600</v>
      </c>
      <c r="BN1" s="53" t="s">
        <v>2</v>
      </c>
      <c r="BO1" s="54">
        <v>46569</v>
      </c>
      <c r="BP1" s="12">
        <v>46631</v>
      </c>
      <c r="BQ1" s="53" t="s">
        <v>2</v>
      </c>
      <c r="BR1" s="54">
        <v>46600</v>
      </c>
      <c r="BS1" s="12">
        <v>46661</v>
      </c>
      <c r="BT1" s="53" t="s">
        <v>2</v>
      </c>
      <c r="BU1" s="54">
        <v>46631</v>
      </c>
      <c r="BV1" s="12">
        <v>46692</v>
      </c>
      <c r="BW1" s="53" t="s">
        <v>2</v>
      </c>
      <c r="BX1" s="54">
        <v>46661</v>
      </c>
      <c r="BY1" s="12">
        <v>46722</v>
      </c>
      <c r="BZ1" s="53" t="s">
        <v>2</v>
      </c>
      <c r="CA1" s="54">
        <v>46692</v>
      </c>
      <c r="CB1" s="12">
        <v>46753</v>
      </c>
      <c r="CC1" s="53" t="s">
        <v>2</v>
      </c>
      <c r="CD1" s="54">
        <v>46722</v>
      </c>
    </row>
    <row r="2" spans="1:82">
      <c r="A2" s="22" t="s">
        <v>0</v>
      </c>
      <c r="B2" s="22"/>
      <c r="C2" s="53"/>
      <c r="D2" s="10" t="s">
        <v>5</v>
      </c>
      <c r="E2" s="10" t="s">
        <v>5</v>
      </c>
      <c r="F2" s="10" t="s">
        <v>5</v>
      </c>
      <c r="G2" s="10" t="s">
        <v>6</v>
      </c>
      <c r="H2" s="10" t="s">
        <v>5</v>
      </c>
      <c r="I2" s="10" t="s">
        <v>5</v>
      </c>
      <c r="J2" s="10" t="s">
        <v>6</v>
      </c>
      <c r="K2" s="10" t="s">
        <v>5</v>
      </c>
      <c r="L2" s="10" t="s">
        <v>5</v>
      </c>
      <c r="M2" s="10" t="s">
        <v>6</v>
      </c>
      <c r="N2" s="10" t="s">
        <v>5</v>
      </c>
      <c r="O2" s="10" t="s">
        <v>23</v>
      </c>
      <c r="P2" s="10" t="s">
        <v>6</v>
      </c>
      <c r="Q2" s="10" t="s">
        <v>5</v>
      </c>
      <c r="R2" s="10" t="s">
        <v>5</v>
      </c>
      <c r="S2" s="10" t="s">
        <v>6</v>
      </c>
      <c r="T2" s="10" t="s">
        <v>5</v>
      </c>
      <c r="U2" s="10" t="s">
        <v>5</v>
      </c>
      <c r="V2" s="10" t="s">
        <v>6</v>
      </c>
      <c r="W2" s="10" t="s">
        <v>5</v>
      </c>
      <c r="X2" s="10" t="s">
        <v>5</v>
      </c>
      <c r="Y2" s="10" t="s">
        <v>6</v>
      </c>
      <c r="Z2" s="10" t="s">
        <v>5</v>
      </c>
      <c r="AA2" s="10" t="s">
        <v>5</v>
      </c>
      <c r="AB2" s="10" t="s">
        <v>6</v>
      </c>
      <c r="AC2" s="10" t="s">
        <v>5</v>
      </c>
      <c r="AD2" s="10" t="s">
        <v>5</v>
      </c>
      <c r="AE2" s="10" t="s">
        <v>6</v>
      </c>
      <c r="AF2" s="10" t="s">
        <v>5</v>
      </c>
      <c r="AG2" s="10" t="s">
        <v>5</v>
      </c>
      <c r="AH2" s="10" t="s">
        <v>6</v>
      </c>
      <c r="AI2" s="10" t="s">
        <v>5</v>
      </c>
      <c r="AJ2" s="10" t="s">
        <v>5</v>
      </c>
      <c r="AK2" s="10" t="s">
        <v>6</v>
      </c>
      <c r="AL2" s="10" t="s">
        <v>5</v>
      </c>
      <c r="AM2" s="10" t="s">
        <v>5</v>
      </c>
      <c r="AN2" s="10" t="s">
        <v>6</v>
      </c>
      <c r="AO2" s="10" t="s">
        <v>5</v>
      </c>
      <c r="AP2" s="10" t="s">
        <v>5</v>
      </c>
      <c r="AQ2" s="10" t="s">
        <v>6</v>
      </c>
      <c r="AR2" s="10" t="s">
        <v>5</v>
      </c>
      <c r="AS2" s="10" t="s">
        <v>5</v>
      </c>
      <c r="AT2" s="10" t="s">
        <v>6</v>
      </c>
      <c r="AU2" s="10" t="s">
        <v>5</v>
      </c>
      <c r="AV2" s="10" t="s">
        <v>5</v>
      </c>
      <c r="AW2" s="10" t="s">
        <v>6</v>
      </c>
      <c r="AX2" s="10" t="s">
        <v>5</v>
      </c>
      <c r="AY2" s="10" t="s">
        <v>5</v>
      </c>
      <c r="AZ2" s="10" t="s">
        <v>6</v>
      </c>
      <c r="BA2" s="10" t="s">
        <v>5</v>
      </c>
      <c r="BB2" s="10" t="s">
        <v>5</v>
      </c>
      <c r="BC2" s="10" t="s">
        <v>6</v>
      </c>
      <c r="BD2" s="10" t="s">
        <v>5</v>
      </c>
      <c r="BE2" s="10" t="s">
        <v>5</v>
      </c>
      <c r="BF2" s="10" t="s">
        <v>6</v>
      </c>
      <c r="BG2" s="10" t="s">
        <v>5</v>
      </c>
      <c r="BH2" s="10" t="s">
        <v>5</v>
      </c>
      <c r="BI2" s="10" t="s">
        <v>6</v>
      </c>
      <c r="BJ2" s="10" t="s">
        <v>5</v>
      </c>
      <c r="BK2" s="10" t="s">
        <v>5</v>
      </c>
      <c r="BL2" s="10" t="s">
        <v>6</v>
      </c>
      <c r="BM2" s="10" t="s">
        <v>5</v>
      </c>
      <c r="BN2" s="10" t="s">
        <v>5</v>
      </c>
      <c r="BO2" s="10" t="s">
        <v>6</v>
      </c>
      <c r="BP2" s="10" t="s">
        <v>5</v>
      </c>
      <c r="BQ2" s="10" t="s">
        <v>5</v>
      </c>
      <c r="BR2" s="10" t="s">
        <v>6</v>
      </c>
      <c r="BS2" s="10" t="s">
        <v>5</v>
      </c>
      <c r="BT2" s="10" t="s">
        <v>5</v>
      </c>
      <c r="BU2" s="10" t="s">
        <v>6</v>
      </c>
      <c r="BV2" s="10" t="s">
        <v>5</v>
      </c>
      <c r="BW2" s="10" t="s">
        <v>5</v>
      </c>
      <c r="BX2" s="10" t="s">
        <v>6</v>
      </c>
      <c r="BY2" s="10" t="s">
        <v>5</v>
      </c>
      <c r="BZ2" s="10" t="s">
        <v>5</v>
      </c>
      <c r="CA2" s="10" t="s">
        <v>6</v>
      </c>
      <c r="CB2" s="10" t="s">
        <v>5</v>
      </c>
      <c r="CC2" s="10" t="s">
        <v>5</v>
      </c>
      <c r="CD2" s="10" t="s">
        <v>6</v>
      </c>
    </row>
    <row r="3" spans="1:82" ht="15.95" customHeight="1">
      <c r="A3" s="22" t="s">
        <v>24</v>
      </c>
      <c r="B3" s="23"/>
      <c r="C3" s="13" t="s">
        <v>8</v>
      </c>
      <c r="D3" s="14">
        <v>245380</v>
      </c>
      <c r="E3" s="14">
        <v>245590</v>
      </c>
      <c r="F3" s="15"/>
      <c r="G3" s="16"/>
      <c r="H3" s="14">
        <v>245835</v>
      </c>
      <c r="I3" s="15"/>
      <c r="J3" s="16"/>
      <c r="K3" s="14">
        <v>246105</v>
      </c>
      <c r="L3" s="15"/>
      <c r="M3" s="16"/>
      <c r="N3" s="14"/>
      <c r="O3" s="15"/>
      <c r="P3" s="16"/>
      <c r="Q3" s="14"/>
      <c r="R3" s="15"/>
      <c r="S3" s="16"/>
      <c r="T3" s="14"/>
      <c r="U3" s="15"/>
      <c r="V3" s="16"/>
      <c r="W3" s="14"/>
      <c r="X3" s="15"/>
      <c r="Y3" s="16"/>
      <c r="Z3" s="14"/>
      <c r="AA3" s="15"/>
      <c r="AB3" s="16"/>
      <c r="AC3" s="14"/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15"/>
      <c r="AW3" s="16"/>
      <c r="AX3" s="14"/>
      <c r="AY3" s="15"/>
      <c r="AZ3" s="16"/>
      <c r="BA3" s="14"/>
      <c r="BB3" s="15"/>
      <c r="BC3" s="16"/>
      <c r="BD3" s="14"/>
      <c r="BE3" s="15"/>
      <c r="BF3" s="16"/>
      <c r="BG3" s="14"/>
      <c r="BH3" s="15"/>
      <c r="BI3" s="16"/>
      <c r="BJ3" s="14"/>
      <c r="BK3" s="15"/>
      <c r="BL3" s="16"/>
      <c r="BM3" s="14"/>
      <c r="BN3" s="15"/>
      <c r="BO3" s="16"/>
      <c r="BP3" s="14"/>
      <c r="BQ3" s="15"/>
      <c r="BR3" s="16"/>
      <c r="BS3" s="14"/>
      <c r="BT3" s="15"/>
      <c r="BU3" s="16"/>
      <c r="BV3" s="14"/>
      <c r="BW3" s="15"/>
      <c r="BX3" s="16"/>
      <c r="BY3" s="14"/>
      <c r="BZ3" s="15"/>
      <c r="CA3" s="16"/>
      <c r="CB3" s="14"/>
      <c r="CC3" s="15"/>
      <c r="CD3" s="16"/>
    </row>
    <row r="4" spans="1:82" ht="15.95" customHeight="1">
      <c r="A4" s="22" t="s">
        <v>7</v>
      </c>
      <c r="B4" s="23"/>
      <c r="C4" s="13" t="s">
        <v>10</v>
      </c>
      <c r="D4" s="17"/>
      <c r="E4" s="17"/>
      <c r="F4" s="17"/>
      <c r="G4" s="18"/>
      <c r="H4" s="17"/>
      <c r="I4" s="17"/>
      <c r="J4" s="18"/>
      <c r="K4" s="17"/>
      <c r="L4" s="17"/>
      <c r="M4" s="18"/>
      <c r="N4" s="17"/>
      <c r="O4" s="17"/>
      <c r="P4" s="18"/>
      <c r="Q4" s="17"/>
      <c r="R4" s="17"/>
      <c r="S4" s="18"/>
      <c r="T4" s="17"/>
      <c r="U4" s="17"/>
      <c r="V4" s="18"/>
      <c r="W4" s="17"/>
      <c r="X4" s="17"/>
      <c r="Y4" s="18"/>
      <c r="Z4" s="17"/>
      <c r="AA4" s="17"/>
      <c r="AB4" s="18"/>
      <c r="AC4" s="17"/>
      <c r="AD4" s="17"/>
      <c r="AE4" s="18"/>
      <c r="AF4" s="17"/>
      <c r="AG4" s="17"/>
      <c r="AH4" s="18"/>
      <c r="AI4" s="17"/>
      <c r="AJ4" s="17"/>
      <c r="AK4" s="18"/>
      <c r="AL4" s="17"/>
      <c r="AM4" s="17"/>
      <c r="AN4" s="18"/>
      <c r="AO4" s="17"/>
      <c r="AP4" s="17"/>
      <c r="AQ4" s="18"/>
      <c r="AR4" s="17"/>
      <c r="AS4" s="17"/>
      <c r="AT4" s="18"/>
      <c r="AU4" s="17"/>
      <c r="AV4" s="17"/>
      <c r="AW4" s="18"/>
      <c r="AX4" s="17"/>
      <c r="AY4" s="17"/>
      <c r="AZ4" s="18"/>
      <c r="BA4" s="17"/>
      <c r="BB4" s="17"/>
      <c r="BC4" s="18"/>
      <c r="BD4" s="17"/>
      <c r="BE4" s="17"/>
      <c r="BF4" s="18"/>
      <c r="BG4" s="17"/>
      <c r="BH4" s="17"/>
      <c r="BI4" s="18"/>
      <c r="BJ4" s="17"/>
      <c r="BK4" s="17"/>
      <c r="BL4" s="18"/>
      <c r="BM4" s="17"/>
      <c r="BN4" s="17"/>
      <c r="BO4" s="18"/>
      <c r="BP4" s="17"/>
      <c r="BQ4" s="17"/>
      <c r="BR4" s="18"/>
      <c r="BS4" s="17"/>
      <c r="BT4" s="17"/>
      <c r="BU4" s="18"/>
      <c r="BV4" s="17"/>
      <c r="BW4" s="17"/>
      <c r="BX4" s="18"/>
      <c r="BY4" s="17"/>
      <c r="BZ4" s="17"/>
      <c r="CA4" s="18"/>
      <c r="CB4" s="17"/>
      <c r="CC4" s="17"/>
      <c r="CD4" s="18"/>
    </row>
    <row r="5" spans="1:82" ht="30" customHeight="1">
      <c r="A5" s="25"/>
      <c r="B5" s="25"/>
      <c r="C5" s="66" t="s">
        <v>12</v>
      </c>
      <c r="D5" s="14">
        <v>32450</v>
      </c>
      <c r="E5" s="14">
        <v>32455</v>
      </c>
      <c r="F5" s="15"/>
      <c r="G5" s="16"/>
      <c r="H5" s="14">
        <v>32461</v>
      </c>
      <c r="I5" s="15"/>
      <c r="J5" s="16"/>
      <c r="K5" s="14">
        <v>32466</v>
      </c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  <c r="W5" s="14"/>
      <c r="X5" s="15"/>
      <c r="Y5" s="16"/>
      <c r="Z5" s="14"/>
      <c r="AA5" s="15"/>
      <c r="AB5" s="16"/>
      <c r="AC5" s="14"/>
      <c r="AD5" s="15"/>
      <c r="AE5" s="16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6"/>
      <c r="AU5" s="14"/>
      <c r="AV5" s="15"/>
      <c r="AW5" s="16"/>
      <c r="AX5" s="14"/>
      <c r="AY5" s="15"/>
      <c r="AZ5" s="16"/>
      <c r="BA5" s="14"/>
      <c r="BB5" s="15"/>
      <c r="BC5" s="16"/>
      <c r="BD5" s="14"/>
      <c r="BE5" s="15"/>
      <c r="BF5" s="16"/>
      <c r="BG5" s="14"/>
      <c r="BH5" s="15"/>
      <c r="BI5" s="16"/>
      <c r="BJ5" s="14"/>
      <c r="BK5" s="15"/>
      <c r="BL5" s="16"/>
      <c r="BM5" s="14"/>
      <c r="BN5" s="15"/>
      <c r="BO5" s="16"/>
      <c r="BP5" s="14"/>
      <c r="BQ5" s="15"/>
      <c r="BR5" s="16"/>
      <c r="BS5" s="14"/>
      <c r="BT5" s="15"/>
      <c r="BU5" s="16"/>
      <c r="BV5" s="14"/>
      <c r="BW5" s="15"/>
      <c r="BX5" s="16"/>
      <c r="BY5" s="14"/>
      <c r="BZ5" s="15"/>
      <c r="CA5" s="16"/>
      <c r="CB5" s="14"/>
      <c r="CC5" s="15"/>
      <c r="CD5" s="16"/>
    </row>
    <row r="6" spans="1:82" ht="23.1" customHeight="1">
      <c r="A6" s="26" t="s">
        <v>25</v>
      </c>
      <c r="B6" s="23"/>
      <c r="C6" s="66" t="s">
        <v>13</v>
      </c>
      <c r="D6" s="17"/>
      <c r="E6" s="17"/>
      <c r="F6" s="17"/>
      <c r="G6" s="18"/>
      <c r="H6" s="17"/>
      <c r="I6" s="17"/>
      <c r="J6" s="18"/>
      <c r="K6" s="17"/>
      <c r="L6" s="17"/>
      <c r="M6" s="18"/>
      <c r="N6" s="17"/>
      <c r="O6" s="17"/>
      <c r="P6" s="18"/>
      <c r="Q6" s="17"/>
      <c r="R6" s="17"/>
      <c r="S6" s="18"/>
      <c r="T6" s="17"/>
      <c r="U6" s="17"/>
      <c r="V6" s="18"/>
      <c r="W6" s="17"/>
      <c r="X6" s="17"/>
      <c r="Y6" s="18"/>
      <c r="Z6" s="17"/>
      <c r="AA6" s="17"/>
      <c r="AB6" s="18"/>
      <c r="AC6" s="17"/>
      <c r="AD6" s="17"/>
      <c r="AE6" s="18"/>
      <c r="AF6" s="17"/>
      <c r="AG6" s="17"/>
      <c r="AH6" s="18"/>
      <c r="AI6" s="17"/>
      <c r="AJ6" s="17"/>
      <c r="AK6" s="18"/>
      <c r="AL6" s="17"/>
      <c r="AM6" s="17"/>
      <c r="AN6" s="18"/>
      <c r="AO6" s="17"/>
      <c r="AP6" s="17"/>
      <c r="AQ6" s="18"/>
      <c r="AR6" s="17"/>
      <c r="AS6" s="17"/>
      <c r="AT6" s="18"/>
      <c r="AU6" s="17"/>
      <c r="AV6" s="17"/>
      <c r="AW6" s="18"/>
      <c r="AX6" s="17"/>
      <c r="AY6" s="17"/>
      <c r="AZ6" s="18"/>
      <c r="BA6" s="17"/>
      <c r="BB6" s="17"/>
      <c r="BC6" s="18"/>
      <c r="BD6" s="17"/>
      <c r="BE6" s="17"/>
      <c r="BF6" s="18"/>
      <c r="BG6" s="17"/>
      <c r="BH6" s="17"/>
      <c r="BI6" s="18"/>
      <c r="BJ6" s="17"/>
      <c r="BK6" s="17"/>
      <c r="BL6" s="18"/>
      <c r="BM6" s="17"/>
      <c r="BN6" s="17"/>
      <c r="BO6" s="18"/>
      <c r="BP6" s="17"/>
      <c r="BQ6" s="17"/>
      <c r="BR6" s="18"/>
      <c r="BS6" s="17"/>
      <c r="BT6" s="17"/>
      <c r="BU6" s="18"/>
      <c r="BV6" s="17"/>
      <c r="BW6" s="17"/>
      <c r="BX6" s="18"/>
      <c r="BY6" s="17"/>
      <c r="BZ6" s="17"/>
      <c r="CA6" s="18"/>
      <c r="CB6" s="17"/>
      <c r="CC6" s="17"/>
      <c r="CD6" s="18"/>
    </row>
    <row r="7" spans="1:82" ht="15.95" customHeight="1">
      <c r="A7" s="27" t="s">
        <v>26</v>
      </c>
      <c r="B7" s="22"/>
      <c r="C7" s="66" t="s">
        <v>14</v>
      </c>
      <c r="D7" s="48">
        <v>17820</v>
      </c>
      <c r="E7" s="48">
        <v>17823</v>
      </c>
      <c r="F7" s="49"/>
      <c r="G7" s="50"/>
      <c r="H7" s="48">
        <v>17827</v>
      </c>
      <c r="I7" s="15"/>
      <c r="J7" s="50"/>
      <c r="K7" s="48">
        <v>17831</v>
      </c>
      <c r="L7" s="15"/>
      <c r="M7" s="50"/>
      <c r="N7" s="48"/>
      <c r="O7" s="15"/>
      <c r="P7" s="50"/>
      <c r="Q7" s="48"/>
      <c r="R7" s="15"/>
      <c r="S7" s="50"/>
      <c r="T7" s="48"/>
      <c r="U7" s="15"/>
      <c r="V7" s="50"/>
      <c r="W7" s="48"/>
      <c r="X7" s="15"/>
      <c r="Y7" s="50"/>
      <c r="Z7" s="48"/>
      <c r="AA7" s="15"/>
      <c r="AB7" s="50"/>
      <c r="AC7" s="48"/>
      <c r="AD7" s="15"/>
      <c r="AE7" s="50"/>
      <c r="AF7" s="48"/>
      <c r="AG7" s="15"/>
      <c r="AH7" s="50"/>
      <c r="AI7" s="48"/>
      <c r="AJ7" s="15"/>
      <c r="AK7" s="50"/>
      <c r="AL7" s="48"/>
      <c r="AM7" s="15"/>
      <c r="AN7" s="50"/>
      <c r="AO7" s="48"/>
      <c r="AP7" s="15"/>
      <c r="AQ7" s="50"/>
      <c r="AR7" s="48"/>
      <c r="AS7" s="15"/>
      <c r="AT7" s="50"/>
      <c r="AU7" s="48"/>
      <c r="AV7" s="15"/>
      <c r="AW7" s="50"/>
      <c r="AX7" s="48"/>
      <c r="AY7" s="15"/>
      <c r="AZ7" s="50"/>
      <c r="BA7" s="48"/>
      <c r="BB7" s="15"/>
      <c r="BC7" s="50"/>
      <c r="BD7" s="48"/>
      <c r="BE7" s="15"/>
      <c r="BF7" s="50"/>
      <c r="BG7" s="48"/>
      <c r="BH7" s="15"/>
      <c r="BI7" s="50"/>
      <c r="BJ7" s="48"/>
      <c r="BK7" s="15"/>
      <c r="BL7" s="50"/>
      <c r="BM7" s="48"/>
      <c r="BN7" s="15"/>
      <c r="BO7" s="50"/>
      <c r="BP7" s="48"/>
      <c r="BQ7" s="15"/>
      <c r="BR7" s="50"/>
      <c r="BS7" s="48"/>
      <c r="BT7" s="15"/>
      <c r="BU7" s="50"/>
      <c r="BV7" s="48"/>
      <c r="BW7" s="15"/>
      <c r="BX7" s="50"/>
      <c r="BY7" s="48"/>
      <c r="BZ7" s="15"/>
      <c r="CA7" s="50"/>
      <c r="CB7" s="48"/>
      <c r="CC7" s="15"/>
      <c r="CD7" s="50"/>
    </row>
    <row r="8" spans="1:82" ht="15.95" customHeight="1">
      <c r="A8" s="26" t="s">
        <v>27</v>
      </c>
      <c r="B8" s="22"/>
      <c r="C8" s="66" t="s">
        <v>15</v>
      </c>
      <c r="D8" s="51"/>
      <c r="E8" s="51"/>
      <c r="F8" s="51"/>
      <c r="G8" s="52"/>
      <c r="H8" s="51"/>
      <c r="I8" s="51"/>
      <c r="J8" s="52"/>
      <c r="K8" s="51"/>
      <c r="L8" s="51"/>
      <c r="M8" s="52"/>
      <c r="N8" s="51"/>
      <c r="O8" s="51"/>
      <c r="P8" s="52"/>
      <c r="Q8" s="51"/>
      <c r="R8" s="51"/>
      <c r="S8" s="52"/>
      <c r="T8" s="51"/>
      <c r="U8" s="51"/>
      <c r="V8" s="52"/>
      <c r="W8" s="51"/>
      <c r="X8" s="51"/>
      <c r="Y8" s="52"/>
      <c r="Z8" s="51"/>
      <c r="AA8" s="51"/>
      <c r="AB8" s="52"/>
      <c r="AC8" s="51"/>
      <c r="AD8" s="51"/>
      <c r="AE8" s="52"/>
      <c r="AF8" s="51"/>
      <c r="AG8" s="51"/>
      <c r="AH8" s="52"/>
      <c r="AI8" s="51"/>
      <c r="AJ8" s="51"/>
      <c r="AK8" s="52"/>
      <c r="AL8" s="51"/>
      <c r="AM8" s="51"/>
      <c r="AN8" s="52"/>
      <c r="AO8" s="51"/>
      <c r="AP8" s="51"/>
      <c r="AQ8" s="52"/>
      <c r="AR8" s="51"/>
      <c r="AS8" s="51"/>
      <c r="AT8" s="52"/>
      <c r="AU8" s="51"/>
      <c r="AV8" s="51"/>
      <c r="AW8" s="52"/>
      <c r="AX8" s="51"/>
      <c r="AY8" s="51"/>
      <c r="AZ8" s="52"/>
      <c r="BA8" s="51"/>
      <c r="BB8" s="51"/>
      <c r="BC8" s="52"/>
      <c r="BD8" s="51"/>
      <c r="BE8" s="51"/>
      <c r="BF8" s="52"/>
      <c r="BG8" s="51"/>
      <c r="BH8" s="51"/>
      <c r="BI8" s="52"/>
      <c r="BJ8" s="51"/>
      <c r="BK8" s="51"/>
      <c r="BL8" s="52"/>
      <c r="BM8" s="51"/>
      <c r="BN8" s="51"/>
      <c r="BO8" s="52"/>
      <c r="BP8" s="51"/>
      <c r="BQ8" s="51"/>
      <c r="BR8" s="52"/>
      <c r="BS8" s="51"/>
      <c r="BT8" s="51"/>
      <c r="BU8" s="52"/>
      <c r="BV8" s="51"/>
      <c r="BW8" s="51"/>
      <c r="BX8" s="52"/>
      <c r="BY8" s="51"/>
      <c r="BZ8" s="51"/>
      <c r="CA8" s="52"/>
      <c r="CB8" s="51"/>
      <c r="CC8" s="51"/>
      <c r="CD8" s="52"/>
    </row>
    <row r="9" spans="1:82" ht="15.95" customHeight="1">
      <c r="A9" s="27" t="s">
        <v>28</v>
      </c>
      <c r="B9" s="23"/>
      <c r="C9" s="13" t="s">
        <v>16</v>
      </c>
      <c r="D9" s="14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  <c r="U9" s="15"/>
      <c r="V9" s="16"/>
      <c r="W9" s="14"/>
      <c r="X9" s="15"/>
      <c r="Y9" s="16"/>
      <c r="Z9" s="14"/>
      <c r="AA9" s="15"/>
      <c r="AB9" s="16"/>
      <c r="AC9" s="14"/>
      <c r="AD9" s="15"/>
      <c r="AE9" s="16"/>
      <c r="AF9" s="14"/>
      <c r="AG9" s="15"/>
      <c r="AH9" s="16"/>
      <c r="AI9" s="14"/>
      <c r="AJ9" s="15"/>
      <c r="AK9" s="16"/>
      <c r="AL9" s="14"/>
      <c r="AM9" s="15"/>
      <c r="AN9" s="16"/>
      <c r="AO9" s="14"/>
      <c r="AP9" s="15"/>
      <c r="AQ9" s="16"/>
      <c r="AR9" s="14"/>
      <c r="AS9" s="15"/>
      <c r="AT9" s="16"/>
      <c r="AU9" s="14"/>
      <c r="AV9" s="15"/>
      <c r="AW9" s="16"/>
      <c r="AX9" s="14"/>
      <c r="AY9" s="15"/>
      <c r="AZ9" s="16"/>
      <c r="BA9" s="14"/>
      <c r="BB9" s="15"/>
      <c r="BC9" s="16"/>
      <c r="BD9" s="14"/>
      <c r="BE9" s="15"/>
      <c r="BF9" s="16"/>
      <c r="BG9" s="14"/>
      <c r="BH9" s="15"/>
      <c r="BI9" s="16"/>
      <c r="BJ9" s="14"/>
      <c r="BK9" s="15"/>
      <c r="BL9" s="16"/>
      <c r="BM9" s="14"/>
      <c r="BN9" s="15"/>
      <c r="BO9" s="16"/>
      <c r="BP9" s="14"/>
      <c r="BQ9" s="15"/>
      <c r="BR9" s="16"/>
      <c r="BS9" s="14"/>
      <c r="BT9" s="15"/>
      <c r="BU9" s="16"/>
      <c r="BV9" s="14"/>
      <c r="BW9" s="15"/>
      <c r="BX9" s="16"/>
      <c r="BY9" s="14"/>
      <c r="BZ9" s="15"/>
      <c r="CA9" s="16"/>
      <c r="CB9" s="14"/>
      <c r="CC9" s="15"/>
      <c r="CD9" s="16"/>
    </row>
    <row r="10" spans="1:82" ht="15.95" customHeight="1">
      <c r="C10" s="13" t="s">
        <v>17</v>
      </c>
      <c r="D10" s="17"/>
      <c r="E10" s="17"/>
      <c r="F10" s="17"/>
      <c r="G10" s="18"/>
      <c r="H10" s="17"/>
      <c r="I10" s="17"/>
      <c r="J10" s="18"/>
      <c r="K10" s="17"/>
      <c r="L10" s="17"/>
      <c r="M10" s="18"/>
      <c r="N10" s="17"/>
      <c r="O10" s="17"/>
      <c r="P10" s="18"/>
      <c r="Q10" s="17"/>
      <c r="R10" s="17"/>
      <c r="S10" s="18"/>
      <c r="T10" s="17"/>
      <c r="U10" s="17"/>
      <c r="V10" s="18"/>
      <c r="W10" s="17"/>
      <c r="X10" s="17"/>
      <c r="Y10" s="18"/>
      <c r="Z10" s="17"/>
      <c r="AA10" s="17"/>
      <c r="AB10" s="18"/>
      <c r="AC10" s="17"/>
      <c r="AD10" s="17"/>
      <c r="AE10" s="18"/>
      <c r="AF10" s="17"/>
      <c r="AG10" s="17"/>
      <c r="AH10" s="18"/>
      <c r="AI10" s="17"/>
      <c r="AJ10" s="17"/>
      <c r="AK10" s="18"/>
      <c r="AL10" s="17"/>
      <c r="AM10" s="17"/>
      <c r="AN10" s="18"/>
      <c r="AO10" s="17"/>
      <c r="AP10" s="17"/>
      <c r="AQ10" s="18"/>
      <c r="AR10" s="17"/>
      <c r="AS10" s="17"/>
      <c r="AT10" s="18"/>
      <c r="AU10" s="17"/>
      <c r="AV10" s="17"/>
      <c r="AW10" s="18"/>
      <c r="AX10" s="17"/>
      <c r="AY10" s="17"/>
      <c r="AZ10" s="18"/>
      <c r="BA10" s="17"/>
      <c r="BB10" s="17"/>
      <c r="BC10" s="18"/>
      <c r="BD10" s="17"/>
      <c r="BE10" s="17"/>
      <c r="BF10" s="18"/>
      <c r="BG10" s="17"/>
      <c r="BH10" s="17"/>
      <c r="BI10" s="18"/>
      <c r="BJ10" s="17"/>
      <c r="BK10" s="17"/>
      <c r="BL10" s="18"/>
      <c r="BM10" s="17"/>
      <c r="BN10" s="17"/>
      <c r="BO10" s="18"/>
      <c r="BP10" s="17"/>
      <c r="BQ10" s="17"/>
      <c r="BR10" s="18"/>
      <c r="BS10" s="17"/>
      <c r="BT10" s="17"/>
      <c r="BU10" s="18"/>
      <c r="BV10" s="17"/>
      <c r="BW10" s="17"/>
      <c r="BX10" s="18"/>
      <c r="BY10" s="17"/>
      <c r="BZ10" s="17"/>
      <c r="CA10" s="18"/>
      <c r="CB10" s="17"/>
      <c r="CC10" s="17"/>
      <c r="CD10" s="18"/>
    </row>
    <row r="11" spans="1:82">
      <c r="A11" s="22" t="s">
        <v>29</v>
      </c>
      <c r="C11" s="19" t="s">
        <v>18</v>
      </c>
      <c r="D11" s="14"/>
      <c r="E11" s="14"/>
      <c r="F11" s="15"/>
      <c r="G11" s="16"/>
      <c r="H11" s="14"/>
      <c r="I11" s="15"/>
      <c r="J11" s="16"/>
      <c r="K11" s="14"/>
      <c r="L11" s="15"/>
      <c r="M11" s="16"/>
      <c r="N11" s="14"/>
      <c r="O11" s="15"/>
      <c r="P11" s="16"/>
      <c r="Q11" s="14"/>
      <c r="R11" s="15"/>
      <c r="S11" s="16"/>
      <c r="T11" s="14"/>
      <c r="U11" s="15"/>
      <c r="V11" s="16"/>
      <c r="W11" s="14"/>
      <c r="X11" s="15"/>
      <c r="Y11" s="16"/>
      <c r="Z11" s="14"/>
      <c r="AA11" s="15"/>
      <c r="AB11" s="16"/>
      <c r="AC11" s="14"/>
      <c r="AD11" s="15"/>
      <c r="AE11" s="16"/>
      <c r="AF11" s="14"/>
      <c r="AG11" s="15"/>
      <c r="AH11" s="16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5"/>
      <c r="AW11" s="16"/>
      <c r="AX11" s="14"/>
      <c r="AY11" s="15"/>
      <c r="AZ11" s="16"/>
      <c r="BA11" s="14"/>
      <c r="BB11" s="15"/>
      <c r="BC11" s="16"/>
      <c r="BD11" s="14"/>
      <c r="BE11" s="15"/>
      <c r="BF11" s="16"/>
      <c r="BG11" s="14"/>
      <c r="BH11" s="15"/>
      <c r="BI11" s="16"/>
      <c r="BJ11" s="14"/>
      <c r="BK11" s="15"/>
      <c r="BL11" s="16"/>
      <c r="BM11" s="14"/>
      <c r="BN11" s="15"/>
      <c r="BO11" s="16"/>
      <c r="BP11" s="14"/>
      <c r="BQ11" s="15"/>
      <c r="BR11" s="16"/>
      <c r="BS11" s="14"/>
      <c r="BT11" s="15"/>
      <c r="BU11" s="16"/>
      <c r="BV11" s="14"/>
      <c r="BW11" s="15"/>
      <c r="BX11" s="16"/>
      <c r="BY11" s="14"/>
      <c r="BZ11" s="15"/>
      <c r="CA11" s="16"/>
      <c r="CB11" s="14"/>
      <c r="CC11" s="15"/>
      <c r="CD11" s="16"/>
    </row>
    <row r="12" spans="1:82">
      <c r="C12" s="19" t="s">
        <v>19</v>
      </c>
      <c r="D12" s="17"/>
      <c r="E12" s="17"/>
      <c r="F12" s="17"/>
      <c r="G12" s="18"/>
      <c r="H12" s="17"/>
      <c r="I12" s="17"/>
      <c r="J12" s="18"/>
      <c r="K12" s="17"/>
      <c r="L12" s="17"/>
      <c r="M12" s="18"/>
      <c r="N12" s="17"/>
      <c r="O12" s="17"/>
      <c r="P12" s="18"/>
      <c r="Q12" s="17"/>
      <c r="R12" s="17"/>
      <c r="S12" s="18"/>
      <c r="T12" s="17"/>
      <c r="U12" s="17"/>
      <c r="V12" s="18"/>
      <c r="W12" s="17"/>
      <c r="X12" s="17"/>
      <c r="Y12" s="18"/>
      <c r="Z12" s="17"/>
      <c r="AA12" s="17"/>
      <c r="AB12" s="18"/>
      <c r="AC12" s="17"/>
      <c r="AD12" s="17"/>
      <c r="AE12" s="18"/>
      <c r="AF12" s="17"/>
      <c r="AG12" s="17"/>
      <c r="AH12" s="18"/>
      <c r="AI12" s="17"/>
      <c r="AJ12" s="17"/>
      <c r="AK12" s="18"/>
      <c r="AL12" s="17"/>
      <c r="AM12" s="17"/>
      <c r="AN12" s="18"/>
      <c r="AO12" s="17"/>
      <c r="AP12" s="17"/>
      <c r="AQ12" s="18"/>
      <c r="AR12" s="17"/>
      <c r="AS12" s="17"/>
      <c r="AT12" s="18"/>
      <c r="AU12" s="17"/>
      <c r="AV12" s="17"/>
      <c r="AW12" s="18"/>
      <c r="AX12" s="17"/>
      <c r="AY12" s="17"/>
      <c r="AZ12" s="18"/>
      <c r="BA12" s="17"/>
      <c r="BB12" s="17"/>
      <c r="BC12" s="18"/>
      <c r="BD12" s="17"/>
      <c r="BE12" s="17"/>
      <c r="BF12" s="18"/>
      <c r="BG12" s="17"/>
      <c r="BH12" s="17"/>
      <c r="BI12" s="18"/>
      <c r="BJ12" s="17"/>
      <c r="BK12" s="17"/>
      <c r="BL12" s="18"/>
      <c r="BM12" s="17"/>
      <c r="BN12" s="17"/>
      <c r="BO12" s="18"/>
      <c r="BP12" s="17"/>
      <c r="BQ12" s="17"/>
      <c r="BR12" s="18"/>
      <c r="BS12" s="17"/>
      <c r="BT12" s="17"/>
      <c r="BU12" s="18"/>
      <c r="BV12" s="17"/>
      <c r="BW12" s="17"/>
      <c r="BX12" s="18"/>
      <c r="BY12" s="17"/>
      <c r="BZ12" s="17"/>
      <c r="CA12" s="18"/>
      <c r="CB12" s="17"/>
      <c r="CC12" s="17"/>
      <c r="CD12" s="18"/>
    </row>
    <row r="13" spans="1:82">
      <c r="D13" s="7"/>
      <c r="E13" s="7"/>
      <c r="F13" s="8"/>
      <c r="G13" s="9"/>
    </row>
    <row r="14" spans="1:82">
      <c r="G14" s="9"/>
    </row>
    <row r="15" spans="1:82">
      <c r="G15" s="9"/>
    </row>
    <row r="16" spans="1:82">
      <c r="G1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0"/>
  <sheetViews>
    <sheetView tabSelected="1" zoomScale="125" zoomScaleNormal="100" workbookViewId="0">
      <selection activeCell="D2" sqref="D2"/>
    </sheetView>
  </sheetViews>
  <sheetFormatPr defaultColWidth="11.42578125" defaultRowHeight="15"/>
  <cols>
    <col min="1" max="1" width="13.85546875" style="59" customWidth="1"/>
    <col min="2" max="3" width="10.85546875" style="59" customWidth="1"/>
    <col min="4" max="4" width="21.140625" style="59" customWidth="1"/>
    <col min="5" max="5" width="12.7109375" style="59" customWidth="1"/>
    <col min="6" max="6" width="23.42578125" style="59" customWidth="1"/>
    <col min="7" max="7" width="17.85546875" style="59" customWidth="1"/>
    <col min="8" max="9" width="10.28515625" style="59" customWidth="1"/>
    <col min="10" max="10" width="13.85546875" style="59" customWidth="1"/>
    <col min="12" max="12" width="14.85546875" style="59" customWidth="1"/>
    <col min="14" max="14" width="13.28515625" style="59" customWidth="1"/>
    <col min="15" max="15" width="7.140625" style="59" customWidth="1"/>
    <col min="16" max="16" width="12.140625" style="59" customWidth="1"/>
    <col min="17" max="18" width="18.28515625" style="59" customWidth="1"/>
    <col min="20" max="20" width="14" style="59" customWidth="1"/>
  </cols>
  <sheetData>
    <row r="1" spans="1:20" ht="18.95" customHeight="1">
      <c r="A1" s="22" t="s">
        <v>31</v>
      </c>
      <c r="B1" s="22" t="s">
        <v>0</v>
      </c>
      <c r="C1" s="22" t="s">
        <v>32</v>
      </c>
      <c r="D1" s="22" t="s">
        <v>9</v>
      </c>
      <c r="E1" s="22" t="s">
        <v>33</v>
      </c>
      <c r="F1" s="22" t="s">
        <v>24</v>
      </c>
      <c r="G1" s="22" t="s">
        <v>34</v>
      </c>
      <c r="H1" s="22" t="s">
        <v>7</v>
      </c>
      <c r="I1" s="22" t="s">
        <v>35</v>
      </c>
      <c r="J1" s="22" t="s">
        <v>29</v>
      </c>
      <c r="K1" s="21" t="s">
        <v>36</v>
      </c>
      <c r="L1" s="21" t="s">
        <v>37</v>
      </c>
      <c r="M1" s="26" t="s">
        <v>25</v>
      </c>
      <c r="N1" s="27" t="s">
        <v>26</v>
      </c>
      <c r="O1" s="26" t="s">
        <v>27</v>
      </c>
      <c r="P1" s="27" t="s">
        <v>28</v>
      </c>
      <c r="Q1" s="27" t="s">
        <v>38</v>
      </c>
      <c r="R1" s="56" t="s">
        <v>39</v>
      </c>
      <c r="S1" s="56" t="s">
        <v>40</v>
      </c>
      <c r="T1" s="56" t="s">
        <v>41</v>
      </c>
    </row>
    <row r="2" spans="1:20" ht="15.95" customHeight="1">
      <c r="A2" s="29" t="s">
        <v>42</v>
      </c>
      <c r="B2" s="30" t="s">
        <v>43</v>
      </c>
      <c r="C2" s="10"/>
      <c r="D2" s="10">
        <v>7701234567</v>
      </c>
      <c r="E2" s="10" t="s">
        <v>44</v>
      </c>
      <c r="F2" s="10" t="s">
        <v>45</v>
      </c>
      <c r="G2" s="10" t="s">
        <v>46</v>
      </c>
      <c r="H2" s="19">
        <v>123.4</v>
      </c>
      <c r="I2" s="19" t="s">
        <v>47</v>
      </c>
      <c r="J2" s="19"/>
      <c r="K2" s="29">
        <v>45367</v>
      </c>
      <c r="L2" s="10"/>
      <c r="M2" s="31" t="s">
        <v>48</v>
      </c>
      <c r="N2" s="10">
        <v>89503228511</v>
      </c>
      <c r="O2" s="10" t="s">
        <v>49</v>
      </c>
      <c r="P2" s="10">
        <v>89372840305</v>
      </c>
      <c r="Q2" s="57" t="s">
        <v>50</v>
      </c>
      <c r="R2" s="78" t="s">
        <v>87</v>
      </c>
      <c r="S2" s="78" t="s">
        <v>85</v>
      </c>
      <c r="T2" s="78" t="s">
        <v>86</v>
      </c>
    </row>
    <row r="3" spans="1:20" ht="15.75" customHeight="1">
      <c r="A3" s="29" t="s">
        <v>51</v>
      </c>
      <c r="B3" s="30" t="s">
        <v>43</v>
      </c>
      <c r="C3" s="10"/>
      <c r="D3" s="87">
        <v>9817291191</v>
      </c>
      <c r="E3" s="10" t="s">
        <v>44</v>
      </c>
      <c r="F3" s="46" t="s">
        <v>52</v>
      </c>
      <c r="G3" s="10" t="s">
        <v>79</v>
      </c>
      <c r="H3" s="19">
        <v>102.6</v>
      </c>
      <c r="I3" s="19" t="s">
        <v>53</v>
      </c>
      <c r="J3" s="19"/>
      <c r="K3" s="29">
        <v>45362</v>
      </c>
      <c r="L3" s="10"/>
      <c r="M3" s="31" t="s">
        <v>54</v>
      </c>
      <c r="N3" s="10">
        <v>89053164414</v>
      </c>
      <c r="O3" s="10" t="s">
        <v>55</v>
      </c>
      <c r="P3" s="10" t="s">
        <v>55</v>
      </c>
      <c r="Q3" s="57" t="s">
        <v>50</v>
      </c>
      <c r="R3" s="78" t="s">
        <v>83</v>
      </c>
      <c r="S3" s="78" t="s">
        <v>84</v>
      </c>
      <c r="T3" s="78" t="s">
        <v>56</v>
      </c>
    </row>
    <row r="4" spans="1:20">
      <c r="A4" s="32" t="s">
        <v>57</v>
      </c>
      <c r="B4" s="30" t="s">
        <v>43</v>
      </c>
      <c r="C4" s="10"/>
      <c r="D4" s="10">
        <v>1111111111</v>
      </c>
      <c r="E4" s="10" t="s">
        <v>58</v>
      </c>
      <c r="F4" s="24" t="s">
        <v>59</v>
      </c>
      <c r="G4" s="30" t="s">
        <v>60</v>
      </c>
      <c r="H4" s="33">
        <v>45.2</v>
      </c>
      <c r="I4" s="33" t="s">
        <v>61</v>
      </c>
      <c r="J4" s="33"/>
      <c r="K4" s="55">
        <v>44631</v>
      </c>
      <c r="L4" s="10"/>
      <c r="M4" s="10" t="s">
        <v>55</v>
      </c>
      <c r="N4" s="10" t="s">
        <v>55</v>
      </c>
      <c r="O4" s="10" t="s">
        <v>55</v>
      </c>
      <c r="P4" s="10" t="s">
        <v>55</v>
      </c>
      <c r="Q4" s="58" t="s">
        <v>50</v>
      </c>
      <c r="R4" s="78" t="s">
        <v>80</v>
      </c>
      <c r="S4" s="78" t="s">
        <v>81</v>
      </c>
      <c r="T4" s="78" t="s">
        <v>82</v>
      </c>
    </row>
    <row r="5" spans="1:20">
      <c r="A5" s="32" t="s">
        <v>62</v>
      </c>
      <c r="B5" s="30" t="s">
        <v>43</v>
      </c>
      <c r="C5" s="10"/>
      <c r="D5" s="10">
        <v>5555555555</v>
      </c>
      <c r="E5" s="10" t="s">
        <v>58</v>
      </c>
      <c r="F5" s="24" t="s">
        <v>63</v>
      </c>
      <c r="G5" s="30" t="s">
        <v>64</v>
      </c>
      <c r="H5" s="33">
        <v>43.3</v>
      </c>
      <c r="I5" s="33" t="s">
        <v>65</v>
      </c>
      <c r="J5" s="33"/>
      <c r="K5" s="29">
        <v>45333</v>
      </c>
      <c r="L5" s="10"/>
      <c r="M5" s="10" t="s">
        <v>55</v>
      </c>
      <c r="N5" s="10" t="s">
        <v>55</v>
      </c>
      <c r="O5" s="10" t="s">
        <v>55</v>
      </c>
      <c r="P5" s="10" t="s">
        <v>55</v>
      </c>
      <c r="Q5" s="58" t="s">
        <v>50</v>
      </c>
      <c r="R5" s="78"/>
      <c r="S5" s="78"/>
      <c r="T5" s="78"/>
    </row>
    <row r="6" spans="1:20" ht="15.95" customHeight="1">
      <c r="A6" s="29" t="s">
        <v>66</v>
      </c>
      <c r="B6" s="30" t="s">
        <v>43</v>
      </c>
      <c r="C6" s="10"/>
      <c r="D6" s="10">
        <v>2222222222</v>
      </c>
      <c r="E6" s="10" t="s">
        <v>44</v>
      </c>
      <c r="F6" s="10" t="s">
        <v>67</v>
      </c>
      <c r="G6" s="10" t="s">
        <v>68</v>
      </c>
      <c r="H6" s="19">
        <v>36</v>
      </c>
      <c r="I6" s="19" t="s">
        <v>69</v>
      </c>
      <c r="J6" s="19"/>
      <c r="K6" s="29">
        <v>45275</v>
      </c>
      <c r="L6" s="10"/>
      <c r="M6" s="31" t="s">
        <v>70</v>
      </c>
      <c r="N6" s="10">
        <v>89655937317</v>
      </c>
      <c r="O6" s="10" t="s">
        <v>55</v>
      </c>
      <c r="P6" s="10" t="s">
        <v>55</v>
      </c>
      <c r="Q6" s="57" t="s">
        <v>71</v>
      </c>
      <c r="R6" s="78"/>
      <c r="S6" s="78"/>
      <c r="T6" s="78"/>
    </row>
    <row r="7" spans="1:20">
      <c r="A7" s="29"/>
      <c r="B7" s="30" t="s">
        <v>43</v>
      </c>
      <c r="C7" s="10"/>
      <c r="D7" s="10"/>
      <c r="E7" s="10"/>
      <c r="F7" s="24" t="s">
        <v>72</v>
      </c>
      <c r="G7" s="10"/>
      <c r="H7" s="19">
        <v>28.35</v>
      </c>
      <c r="I7" s="19" t="s">
        <v>73</v>
      </c>
      <c r="J7" s="19"/>
      <c r="K7" s="29"/>
      <c r="L7" s="10"/>
      <c r="M7" s="10" t="s">
        <v>55</v>
      </c>
      <c r="N7" s="10" t="s">
        <v>55</v>
      </c>
      <c r="O7" s="10" t="s">
        <v>55</v>
      </c>
      <c r="P7" s="10" t="s">
        <v>55</v>
      </c>
      <c r="Q7" s="57" t="s">
        <v>50</v>
      </c>
      <c r="R7" s="78"/>
      <c r="S7" s="78"/>
      <c r="T7" s="78"/>
    </row>
    <row r="8" spans="1:20">
      <c r="A8" s="29"/>
      <c r="B8" s="30" t="s">
        <v>43</v>
      </c>
      <c r="C8" s="10"/>
      <c r="D8" s="10"/>
      <c r="E8" s="10"/>
      <c r="F8" s="24" t="s">
        <v>72</v>
      </c>
      <c r="G8" s="10"/>
      <c r="H8" s="19">
        <v>23</v>
      </c>
      <c r="I8" s="19" t="s">
        <v>74</v>
      </c>
      <c r="J8" s="19"/>
      <c r="K8" s="29"/>
      <c r="L8" s="10"/>
      <c r="M8" s="10" t="s">
        <v>55</v>
      </c>
      <c r="N8" s="10" t="s">
        <v>55</v>
      </c>
      <c r="O8" s="10" t="s">
        <v>55</v>
      </c>
      <c r="P8" s="10" t="s">
        <v>55</v>
      </c>
      <c r="Q8" s="57" t="s">
        <v>50</v>
      </c>
      <c r="R8" s="78"/>
      <c r="S8" s="78"/>
      <c r="T8" s="78"/>
    </row>
    <row r="9" spans="1:20">
      <c r="K9" s="28"/>
    </row>
    <row r="10" spans="1:20">
      <c r="K10" s="28"/>
    </row>
    <row r="11" spans="1:20">
      <c r="K11" s="28"/>
    </row>
    <row r="12" spans="1:20">
      <c r="K12" s="28"/>
    </row>
    <row r="13" spans="1:20">
      <c r="K13" s="28"/>
    </row>
    <row r="20" spans="1:1">
      <c r="A20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defaultColWidth="11.42578125" defaultRowHeight="15"/>
  <cols>
    <col min="2" max="2" width="26.7109375" style="59" customWidth="1"/>
    <col min="3" max="3" width="17" style="59" customWidth="1"/>
    <col min="5" max="5" width="16" style="59" customWidth="1"/>
  </cols>
  <sheetData>
    <row r="1" spans="1:53">
      <c r="E1" s="38">
        <v>45962</v>
      </c>
      <c r="G1" s="38">
        <v>45992</v>
      </c>
      <c r="I1" s="38">
        <v>46023</v>
      </c>
      <c r="K1" s="38">
        <v>46054</v>
      </c>
      <c r="M1" s="38">
        <v>46082</v>
      </c>
      <c r="O1" s="38">
        <v>46113</v>
      </c>
      <c r="Q1" s="38">
        <v>46143</v>
      </c>
      <c r="S1" s="38">
        <v>46174</v>
      </c>
      <c r="U1" s="38">
        <v>46204</v>
      </c>
      <c r="W1" s="38">
        <v>46235</v>
      </c>
      <c r="Y1" s="38">
        <v>46266</v>
      </c>
      <c r="AA1" s="38">
        <v>46296</v>
      </c>
      <c r="AC1" s="38">
        <v>46327</v>
      </c>
      <c r="AE1" s="38">
        <v>46357</v>
      </c>
      <c r="AG1" s="38">
        <v>46388</v>
      </c>
      <c r="AI1" s="38">
        <v>46419</v>
      </c>
      <c r="AK1" s="38">
        <v>46447</v>
      </c>
      <c r="AM1" s="38">
        <v>46478</v>
      </c>
      <c r="AO1" s="38">
        <v>46508</v>
      </c>
      <c r="AQ1" s="38">
        <v>46539</v>
      </c>
      <c r="AS1" s="38">
        <v>46569</v>
      </c>
      <c r="AU1" s="38">
        <v>46600</v>
      </c>
      <c r="AW1" s="38">
        <v>46631</v>
      </c>
      <c r="AY1" s="38">
        <v>46661</v>
      </c>
      <c r="BA1" s="38">
        <v>46692</v>
      </c>
    </row>
    <row r="2" spans="1:53">
      <c r="A2" s="22" t="s">
        <v>9</v>
      </c>
      <c r="B2" s="22" t="s">
        <v>24</v>
      </c>
      <c r="C2" s="22" t="s">
        <v>7</v>
      </c>
      <c r="D2" s="34" t="s">
        <v>76</v>
      </c>
      <c r="E2" s="21" t="s">
        <v>77</v>
      </c>
      <c r="F2" s="21" t="s">
        <v>76</v>
      </c>
      <c r="G2" s="21" t="s">
        <v>77</v>
      </c>
      <c r="H2" s="21" t="s">
        <v>76</v>
      </c>
      <c r="I2" s="21" t="s">
        <v>77</v>
      </c>
      <c r="J2" s="21" t="s">
        <v>76</v>
      </c>
      <c r="K2" s="21" t="s">
        <v>77</v>
      </c>
      <c r="L2" s="21" t="s">
        <v>76</v>
      </c>
      <c r="M2" s="21" t="s">
        <v>77</v>
      </c>
      <c r="N2" s="21" t="s">
        <v>76</v>
      </c>
      <c r="O2" s="21" t="s">
        <v>77</v>
      </c>
      <c r="P2" s="21" t="s">
        <v>76</v>
      </c>
      <c r="Q2" s="21" t="s">
        <v>77</v>
      </c>
      <c r="R2" s="21" t="s">
        <v>76</v>
      </c>
      <c r="S2" s="21" t="s">
        <v>77</v>
      </c>
      <c r="T2" s="21" t="s">
        <v>76</v>
      </c>
      <c r="U2" s="21" t="s">
        <v>77</v>
      </c>
      <c r="V2" s="21" t="s">
        <v>76</v>
      </c>
      <c r="W2" s="21" t="s">
        <v>77</v>
      </c>
      <c r="X2" s="21" t="s">
        <v>76</v>
      </c>
      <c r="Y2" s="21" t="s">
        <v>77</v>
      </c>
      <c r="Z2" s="21" t="s">
        <v>76</v>
      </c>
      <c r="AA2" s="21" t="s">
        <v>77</v>
      </c>
      <c r="AB2" s="21" t="s">
        <v>76</v>
      </c>
      <c r="AC2" s="21" t="s">
        <v>77</v>
      </c>
      <c r="AD2" s="21" t="s">
        <v>76</v>
      </c>
      <c r="AE2" s="21" t="s">
        <v>77</v>
      </c>
      <c r="AF2" s="21" t="s">
        <v>76</v>
      </c>
      <c r="AG2" s="21" t="s">
        <v>77</v>
      </c>
      <c r="AH2" s="21" t="s">
        <v>76</v>
      </c>
      <c r="AI2" s="21" t="s">
        <v>77</v>
      </c>
      <c r="AJ2" s="21" t="s">
        <v>76</v>
      </c>
      <c r="AK2" s="21" t="s">
        <v>77</v>
      </c>
      <c r="AL2" s="21" t="s">
        <v>76</v>
      </c>
      <c r="AM2" s="21" t="s">
        <v>77</v>
      </c>
      <c r="AN2" s="21" t="s">
        <v>76</v>
      </c>
      <c r="AO2" s="21" t="s">
        <v>77</v>
      </c>
      <c r="AP2" s="21" t="s">
        <v>76</v>
      </c>
      <c r="AQ2" s="21" t="s">
        <v>77</v>
      </c>
      <c r="AR2" s="21" t="s">
        <v>76</v>
      </c>
      <c r="AS2" s="21" t="s">
        <v>77</v>
      </c>
      <c r="AT2" s="21" t="s">
        <v>76</v>
      </c>
      <c r="AU2" s="21" t="s">
        <v>77</v>
      </c>
      <c r="AV2" s="21" t="s">
        <v>76</v>
      </c>
      <c r="AW2" s="21" t="s">
        <v>77</v>
      </c>
      <c r="AX2" s="21" t="s">
        <v>76</v>
      </c>
      <c r="AY2" s="21" t="s">
        <v>77</v>
      </c>
      <c r="AZ2" s="21" t="s">
        <v>76</v>
      </c>
      <c r="BA2" s="21" t="s">
        <v>77</v>
      </c>
    </row>
    <row r="3" spans="1:53">
      <c r="A3" s="35"/>
      <c r="B3" s="37"/>
      <c r="C3" s="40"/>
      <c r="D3" s="35">
        <v>1600</v>
      </c>
      <c r="E3" s="44"/>
      <c r="F3" s="78"/>
      <c r="G3" s="42"/>
      <c r="H3" s="43"/>
      <c r="I3" s="42"/>
      <c r="J3" s="78"/>
      <c r="K3" s="42"/>
      <c r="L3" s="78"/>
      <c r="M3" s="42"/>
      <c r="N3" s="78"/>
      <c r="O3" s="42"/>
      <c r="P3" s="78"/>
      <c r="Q3" s="42"/>
      <c r="R3" s="78"/>
      <c r="S3" s="42"/>
      <c r="T3" s="78"/>
      <c r="U3" s="42"/>
      <c r="V3" s="78"/>
      <c r="W3" s="42"/>
      <c r="X3" s="78"/>
      <c r="Y3" s="42"/>
      <c r="Z3" s="78"/>
      <c r="AA3" s="42"/>
      <c r="AB3" s="78"/>
      <c r="AC3" s="42"/>
      <c r="AD3" s="78"/>
      <c r="AE3" s="42"/>
      <c r="AF3" s="43"/>
      <c r="AG3" s="42"/>
      <c r="AH3" s="78"/>
      <c r="AI3" s="42"/>
      <c r="AJ3" s="78"/>
      <c r="AK3" s="42"/>
      <c r="AL3" s="78"/>
      <c r="AM3" s="42"/>
      <c r="AN3" s="78"/>
      <c r="AO3" s="42"/>
      <c r="AP3" s="78"/>
      <c r="AQ3" s="42"/>
      <c r="AR3" s="78"/>
      <c r="AS3" s="42"/>
      <c r="AT3" s="78"/>
      <c r="AU3" s="42"/>
      <c r="AV3" s="78"/>
      <c r="AW3" s="42"/>
      <c r="AX3" s="78"/>
      <c r="AY3" s="42"/>
      <c r="AZ3" s="78"/>
      <c r="BA3" s="42"/>
    </row>
    <row r="4" spans="1:53">
      <c r="A4" s="35"/>
      <c r="B4" s="37"/>
      <c r="C4" s="40"/>
      <c r="D4" s="35">
        <v>1800</v>
      </c>
      <c r="E4" s="45"/>
      <c r="F4" s="78"/>
      <c r="G4" s="42"/>
      <c r="H4" s="43"/>
      <c r="I4" s="42"/>
      <c r="J4" s="78"/>
      <c r="K4" s="42"/>
      <c r="L4" s="78"/>
      <c r="M4" s="42"/>
      <c r="N4" s="78"/>
      <c r="O4" s="42"/>
      <c r="P4" s="78"/>
      <c r="Q4" s="42"/>
      <c r="R4" s="78"/>
      <c r="S4" s="42"/>
      <c r="T4" s="78"/>
      <c r="U4" s="42"/>
      <c r="V4" s="78"/>
      <c r="W4" s="42"/>
      <c r="X4" s="78"/>
      <c r="Y4" s="42"/>
      <c r="Z4" s="78"/>
      <c r="AA4" s="42"/>
      <c r="AB4" s="78"/>
      <c r="AC4" s="42"/>
      <c r="AD4" s="78"/>
      <c r="AE4" s="42"/>
      <c r="AF4" s="43"/>
      <c r="AG4" s="42"/>
      <c r="AH4" s="78"/>
      <c r="AI4" s="42"/>
      <c r="AJ4" s="78"/>
      <c r="AK4" s="42"/>
      <c r="AL4" s="78"/>
      <c r="AM4" s="42"/>
      <c r="AN4" s="78"/>
      <c r="AO4" s="42"/>
      <c r="AP4" s="78"/>
      <c r="AQ4" s="42"/>
      <c r="AR4" s="78"/>
      <c r="AS4" s="42"/>
      <c r="AT4" s="78"/>
      <c r="AU4" s="42"/>
      <c r="AV4" s="78"/>
      <c r="AW4" s="42"/>
      <c r="AX4" s="78"/>
      <c r="AY4" s="42"/>
      <c r="AZ4" s="78"/>
      <c r="BA4" s="42"/>
    </row>
    <row r="5" spans="1:53">
      <c r="A5" s="35"/>
      <c r="B5" s="37"/>
      <c r="C5" s="40"/>
      <c r="D5" s="35"/>
      <c r="E5" s="42"/>
      <c r="F5" s="78"/>
      <c r="G5" s="42"/>
      <c r="H5" s="43"/>
      <c r="I5" s="42"/>
      <c r="J5" s="78"/>
      <c r="K5" s="42"/>
      <c r="L5" s="78"/>
      <c r="M5" s="42"/>
      <c r="N5" s="78"/>
      <c r="O5" s="42"/>
      <c r="P5" s="78"/>
      <c r="Q5" s="42"/>
      <c r="R5" s="78"/>
      <c r="S5" s="42"/>
      <c r="T5" s="78"/>
      <c r="U5" s="42"/>
      <c r="V5" s="78"/>
      <c r="W5" s="42"/>
      <c r="X5" s="78"/>
      <c r="Y5" s="42"/>
      <c r="Z5" s="78"/>
      <c r="AA5" s="42"/>
      <c r="AB5" s="78"/>
      <c r="AC5" s="42"/>
      <c r="AD5" s="78"/>
      <c r="AE5" s="42"/>
      <c r="AF5" s="43"/>
      <c r="AG5" s="42"/>
      <c r="AH5" s="78"/>
      <c r="AI5" s="42"/>
      <c r="AJ5" s="78"/>
      <c r="AK5" s="42"/>
      <c r="AL5" s="78"/>
      <c r="AM5" s="42"/>
      <c r="AN5" s="78"/>
      <c r="AO5" s="42"/>
      <c r="AP5" s="78"/>
      <c r="AQ5" s="42"/>
      <c r="AR5" s="78"/>
      <c r="AS5" s="42"/>
      <c r="AT5" s="78"/>
      <c r="AU5" s="42"/>
      <c r="AV5" s="78"/>
      <c r="AW5" s="42"/>
      <c r="AX5" s="78"/>
      <c r="AY5" s="42"/>
      <c r="AZ5" s="78"/>
      <c r="BA5" s="42"/>
    </row>
    <row r="6" spans="1:53">
      <c r="A6" s="35"/>
      <c r="B6" s="37"/>
      <c r="C6" s="40"/>
      <c r="D6" s="35"/>
      <c r="E6" s="42"/>
      <c r="F6" s="78"/>
      <c r="G6" s="42"/>
      <c r="H6" s="43"/>
      <c r="I6" s="42"/>
      <c r="J6" s="78"/>
      <c r="K6" s="42"/>
      <c r="L6" s="78"/>
      <c r="M6" s="42"/>
      <c r="N6" s="78"/>
      <c r="O6" s="42"/>
      <c r="P6" s="78"/>
      <c r="Q6" s="42"/>
      <c r="R6" s="78"/>
      <c r="S6" s="42"/>
      <c r="T6" s="78"/>
      <c r="U6" s="42"/>
      <c r="V6" s="78"/>
      <c r="W6" s="42"/>
      <c r="X6" s="78"/>
      <c r="Y6" s="42"/>
      <c r="Z6" s="78"/>
      <c r="AA6" s="42"/>
      <c r="AB6" s="78"/>
      <c r="AC6" s="42"/>
      <c r="AD6" s="78"/>
      <c r="AE6" s="42"/>
      <c r="AF6" s="43"/>
      <c r="AG6" s="42"/>
      <c r="AH6" s="78"/>
      <c r="AI6" s="42"/>
      <c r="AJ6" s="78"/>
      <c r="AK6" s="42"/>
      <c r="AL6" s="78"/>
      <c r="AM6" s="42"/>
      <c r="AN6" s="78"/>
      <c r="AO6" s="42"/>
      <c r="AP6" s="78"/>
      <c r="AQ6" s="42"/>
      <c r="AR6" s="78"/>
      <c r="AS6" s="42"/>
      <c r="AT6" s="78"/>
      <c r="AU6" s="42"/>
      <c r="AV6" s="78"/>
      <c r="AW6" s="42"/>
      <c r="AX6" s="78"/>
      <c r="AY6" s="42"/>
      <c r="AZ6" s="78"/>
      <c r="BA6" s="42"/>
    </row>
    <row r="7" spans="1:53">
      <c r="A7" s="35"/>
      <c r="B7" s="37"/>
      <c r="C7" s="40"/>
      <c r="D7" s="35">
        <v>2200</v>
      </c>
      <c r="E7" s="42"/>
      <c r="F7" s="78"/>
      <c r="G7" s="42"/>
      <c r="H7" s="43"/>
      <c r="I7" s="42"/>
      <c r="J7" s="78"/>
      <c r="K7" s="42"/>
      <c r="L7" s="78"/>
      <c r="M7" s="42"/>
      <c r="N7" s="78"/>
      <c r="O7" s="42"/>
      <c r="P7" s="78"/>
      <c r="Q7" s="42"/>
      <c r="R7" s="78"/>
      <c r="S7" s="42"/>
      <c r="T7" s="78"/>
      <c r="U7" s="42"/>
      <c r="V7" s="78"/>
      <c r="W7" s="42"/>
      <c r="X7" s="78"/>
      <c r="Y7" s="42"/>
      <c r="Z7" s="78"/>
      <c r="AA7" s="42"/>
      <c r="AB7" s="78"/>
      <c r="AC7" s="42"/>
      <c r="AD7" s="78"/>
      <c r="AE7" s="42"/>
      <c r="AF7" s="43"/>
      <c r="AG7" s="42"/>
      <c r="AH7" s="78"/>
      <c r="AI7" s="42"/>
      <c r="AJ7" s="78"/>
      <c r="AK7" s="42"/>
      <c r="AL7" s="78"/>
      <c r="AM7" s="42"/>
      <c r="AN7" s="78"/>
      <c r="AO7" s="42"/>
      <c r="AP7" s="78"/>
      <c r="AQ7" s="42"/>
      <c r="AR7" s="78"/>
      <c r="AS7" s="42"/>
      <c r="AT7" s="78"/>
      <c r="AU7" s="42"/>
      <c r="AV7" s="78"/>
      <c r="AW7" s="42"/>
      <c r="AX7" s="78"/>
      <c r="AY7" s="42"/>
      <c r="AZ7" s="78"/>
      <c r="BA7" s="42"/>
    </row>
    <row r="8" spans="1:53">
      <c r="A8" s="35"/>
      <c r="B8" s="37"/>
      <c r="C8" s="40"/>
      <c r="D8" s="35"/>
      <c r="E8" s="42"/>
      <c r="F8" s="78"/>
      <c r="G8" s="42"/>
      <c r="H8" s="43"/>
      <c r="I8" s="42"/>
      <c r="J8" s="78"/>
      <c r="K8" s="42"/>
      <c r="L8" s="78"/>
      <c r="M8" s="42"/>
      <c r="N8" s="78"/>
      <c r="O8" s="42"/>
      <c r="P8" s="78"/>
      <c r="Q8" s="42"/>
      <c r="R8" s="78"/>
      <c r="S8" s="42"/>
      <c r="T8" s="78"/>
      <c r="U8" s="42"/>
      <c r="V8" s="78"/>
      <c r="W8" s="42"/>
      <c r="X8" s="78"/>
      <c r="Y8" s="42"/>
      <c r="Z8" s="78"/>
      <c r="AA8" s="42"/>
      <c r="AB8" s="78"/>
      <c r="AC8" s="42"/>
      <c r="AD8" s="78"/>
      <c r="AE8" s="42"/>
      <c r="AF8" s="43"/>
      <c r="AG8" s="42"/>
      <c r="AH8" s="78"/>
      <c r="AI8" s="42"/>
      <c r="AJ8" s="78"/>
      <c r="AK8" s="42"/>
      <c r="AL8" s="78"/>
      <c r="AM8" s="42"/>
      <c r="AN8" s="78"/>
      <c r="AO8" s="42"/>
      <c r="AP8" s="78"/>
      <c r="AQ8" s="42"/>
      <c r="AR8" s="78"/>
      <c r="AS8" s="42"/>
      <c r="AT8" s="78"/>
      <c r="AU8" s="42"/>
      <c r="AV8" s="78"/>
      <c r="AW8" s="42"/>
      <c r="AX8" s="78"/>
      <c r="AY8" s="42"/>
      <c r="AZ8" s="78"/>
      <c r="BA8" s="42"/>
    </row>
    <row r="9" spans="1:53">
      <c r="A9" s="36"/>
      <c r="B9" s="39"/>
      <c r="C9" s="41"/>
      <c r="D9" s="36"/>
      <c r="E9" s="42"/>
      <c r="F9" s="78"/>
      <c r="G9" s="42"/>
      <c r="H9" s="43"/>
      <c r="I9" s="42"/>
      <c r="J9" s="78"/>
      <c r="K9" s="42"/>
      <c r="L9" s="78"/>
      <c r="M9" s="42"/>
      <c r="N9" s="78"/>
      <c r="O9" s="42"/>
      <c r="P9" s="78"/>
      <c r="Q9" s="42"/>
      <c r="R9" s="78"/>
      <c r="S9" s="42"/>
      <c r="T9" s="78"/>
      <c r="U9" s="42"/>
      <c r="V9" s="78"/>
      <c r="W9" s="42"/>
      <c r="X9" s="78"/>
      <c r="Y9" s="42"/>
      <c r="Z9" s="78"/>
      <c r="AA9" s="42"/>
      <c r="AB9" s="78"/>
      <c r="AC9" s="42"/>
      <c r="AD9" s="78"/>
      <c r="AE9" s="42"/>
      <c r="AF9" s="43"/>
      <c r="AG9" s="42"/>
      <c r="AH9" s="78"/>
      <c r="AI9" s="42"/>
      <c r="AJ9" s="78"/>
      <c r="AK9" s="42"/>
      <c r="AL9" s="78"/>
      <c r="AM9" s="42"/>
      <c r="AN9" s="78"/>
      <c r="AO9" s="42"/>
      <c r="AP9" s="78"/>
      <c r="AQ9" s="42"/>
      <c r="AR9" s="78"/>
      <c r="AS9" s="42"/>
      <c r="AT9" s="78"/>
      <c r="AU9" s="42"/>
      <c r="AV9" s="78"/>
      <c r="AW9" s="42"/>
      <c r="AX9" s="78"/>
      <c r="AY9" s="42"/>
      <c r="AZ9" s="78"/>
      <c r="BA9" s="42"/>
    </row>
    <row r="12" spans="1:53">
      <c r="A12" s="1"/>
      <c r="B12" s="7"/>
      <c r="C12" s="7"/>
      <c r="D12" s="8"/>
      <c r="E12" s="9"/>
      <c r="G12" s="1"/>
      <c r="H12" s="1"/>
      <c r="J12" s="1"/>
      <c r="K12" s="1"/>
      <c r="M12" s="1"/>
      <c r="N12" s="1"/>
      <c r="P12" s="1"/>
      <c r="Q12" s="1"/>
      <c r="S12" s="1"/>
      <c r="T12" s="1"/>
      <c r="V12" s="1"/>
      <c r="W12" s="1"/>
      <c r="Y12" s="1"/>
      <c r="Z12" s="1"/>
      <c r="AB12" s="1"/>
      <c r="AC12" s="1"/>
      <c r="AE12" s="1"/>
      <c r="AF12" s="1"/>
      <c r="AH12" s="1"/>
      <c r="AI12" s="1"/>
      <c r="AK12" s="1"/>
      <c r="AL12" s="1"/>
      <c r="AN12" s="1"/>
      <c r="AO12" s="1"/>
      <c r="AQ12" s="1"/>
      <c r="AR12" s="1"/>
    </row>
    <row r="13" spans="1:53">
      <c r="B13" s="1"/>
      <c r="E13" s="1"/>
      <c r="F13" s="9"/>
      <c r="H13" s="1"/>
      <c r="I13" s="1"/>
      <c r="K13" s="1"/>
      <c r="L13" s="1"/>
      <c r="N13" s="1"/>
      <c r="O13" s="1"/>
      <c r="Q13" s="1"/>
      <c r="R13" s="1"/>
      <c r="T13" s="1"/>
      <c r="U13" s="1"/>
      <c r="W13" s="1"/>
      <c r="X13" s="1"/>
      <c r="Z13" s="1"/>
      <c r="AA13" s="1"/>
      <c r="AC13" s="1"/>
      <c r="AD13" s="1"/>
      <c r="AF13" s="1"/>
      <c r="AG13" s="1"/>
      <c r="AI13" s="1"/>
      <c r="AJ13" s="1"/>
      <c r="AL13" s="1"/>
      <c r="AM13" s="1"/>
      <c r="AO13" s="1"/>
      <c r="AP13" s="1"/>
      <c r="AR13" s="1"/>
      <c r="AS13" s="1"/>
    </row>
    <row r="15" spans="1:53">
      <c r="A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0. ГИРА</vt:lpstr>
      <vt:lpstr>К123,40</vt:lpstr>
      <vt:lpstr>К102,60</vt:lpstr>
      <vt:lpstr>К45,20</vt:lpstr>
      <vt:lpstr>К43,30</vt:lpstr>
      <vt:lpstr>К36,00</vt:lpstr>
      <vt:lpstr>К28,35</vt:lpstr>
      <vt:lpstr>К23</vt:lpstr>
      <vt:lpstr>Реестр</vt:lpstr>
      <vt:lpstr>Аренда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</cp:lastModifiedBy>
  <dcterms:created xsi:type="dcterms:W3CDTF">2015-06-05T18:19:34Z</dcterms:created>
  <dcterms:modified xsi:type="dcterms:W3CDTF">2026-02-03T01:50:30Z</dcterms:modified>
</cp:coreProperties>
</file>