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645" windowWidth="21600" windowHeight="11280" tabRatio="600" firstSheet="8" activeTab="8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  <sheet xmlns:r="http://schemas.openxmlformats.org/officeDocument/2006/relationships" name="K666.0" sheetId="12" state="visible" r:id="rId12"/>
    <sheet xmlns:r="http://schemas.openxmlformats.org/officeDocument/2006/relationships" name="K8888.0" sheetId="13" state="visible" r:id="rId13"/>
    <sheet xmlns:r="http://schemas.openxmlformats.org/officeDocument/2006/relationships" name="K100.0" sheetId="14" state="visible" r:id="rId14"/>
    <sheet xmlns:r="http://schemas.openxmlformats.org/officeDocument/2006/relationships" name="K120.0" sheetId="15" state="visible" r:id="rId15"/>
    <sheet xmlns:r="http://schemas.openxmlformats.org/officeDocument/2006/relationships" name="K130.0" sheetId="16" state="visible" r:id="rId16"/>
    <sheet xmlns:r="http://schemas.openxmlformats.org/officeDocument/2006/relationships" name="K2324.0" sheetId="17" state="visible" r:id="rId17"/>
    <sheet xmlns:r="http://schemas.openxmlformats.org/officeDocument/2006/relationships" name="K4332.0" sheetId="18" state="visible" r:id="rId18"/>
    <sheet xmlns:r="http://schemas.openxmlformats.org/officeDocument/2006/relationships" name="K777.0" sheetId="19" state="visible" r:id="rId19"/>
    <sheet xmlns:r="http://schemas.openxmlformats.org/officeDocument/2006/relationships" name="K4445.0" sheetId="20" state="visible" r:id="rId20"/>
    <sheet xmlns:r="http://schemas.openxmlformats.org/officeDocument/2006/relationships" name="K898.0" sheetId="21" state="visible" r:id="rId21"/>
    <sheet xmlns:r="http://schemas.openxmlformats.org/officeDocument/2006/relationships" name="K3346.0" sheetId="22" state="visible" r:id="rId22"/>
    <sheet xmlns:r="http://schemas.openxmlformats.org/officeDocument/2006/relationships" name="K666.0_1" sheetId="23" state="visible" r:id="rId23"/>
    <sheet xmlns:r="http://schemas.openxmlformats.org/officeDocument/2006/relationships" name="K377.0" sheetId="24" state="visible" r:id="rId24"/>
  </sheets>
  <externalReferences>
    <externalReference xmlns:r="http://schemas.openxmlformats.org/officeDocument/2006/relationships" r:id="rId25"/>
    <externalReference xmlns:r="http://schemas.openxmlformats.org/officeDocument/2006/relationships" r:id="rId26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externalLink" Target="/xl/externalLinks/externalLink1.xml" Id="rId25"/><Relationship Type="http://schemas.openxmlformats.org/officeDocument/2006/relationships/externalLink" Target="/xl/externalLinks/externalLink2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3;&#1048;&#1056;&#1040;_1006&#1090;&#1077;&#1082;&#1082;&#107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D17" activePane="bottomRight" state="frozen"/>
      <selection pane="topRight" activeCell="D1" sqref="D1"/>
      <selection pane="bottomLeft" activeCell="A16" sqref="A16"/>
      <selection pane="bottomRight" activeCell="K7" sqref="K7"/>
    </sheetView>
  </sheetViews>
  <sheetFormatPr baseColWidth="8" defaultColWidth="10" defaultRowHeight="15"/>
  <cols>
    <col width="12" customWidth="1" min="1" max="1"/>
    <col width="11" customWidth="1" min="2" max="2"/>
    <col width="24.28515625" bestFit="1" customWidth="1" style="1" min="3" max="3"/>
    <col width="9.28515625" bestFit="1" customWidth="1" min="4" max="4"/>
    <col width="7.28515625" bestFit="1" customWidth="1" min="5" max="5"/>
    <col width="9.85546875" bestFit="1" customWidth="1" style="1" min="6" max="6"/>
    <col width="10" bestFit="1" customWidth="1" style="1" min="7" max="7"/>
    <col width="11.28515625" customWidth="1" min="8" max="8"/>
    <col width="14.7109375" customWidth="1" style="1" min="9" max="9"/>
    <col width="10" bestFit="1" customWidth="1" style="1" min="10" max="10"/>
    <col width="10.85546875" customWidth="1" min="11" max="11"/>
    <col width="9.85546875" bestFit="1" customWidth="1" style="1" min="12" max="12"/>
    <col width="13.5703125" customWidth="1" style="1" min="13" max="13"/>
    <col width="7.140625" bestFit="1" customWidth="1" min="14" max="14"/>
    <col width="9.85546875" bestFit="1" customWidth="1" style="1" min="15" max="15"/>
    <col width="8.42578125" bestFit="1" customWidth="1" style="1" min="16" max="16"/>
    <col width="7.42578125" bestFit="1" customWidth="1" min="17" max="17"/>
    <col width="9.85546875" bestFit="1" customWidth="1" style="1" min="18" max="18"/>
    <col width="8.42578125" bestFit="1" customWidth="1" style="1" min="19" max="19"/>
    <col width="7" bestFit="1" customWidth="1" min="20" max="20"/>
    <col width="9.85546875" bestFit="1" customWidth="1" style="1" min="21" max="21"/>
    <col width="8.42578125" bestFit="1" customWidth="1" style="1" min="22" max="22"/>
    <col width="14.42578125" customWidth="1" min="23" max="23"/>
    <col width="9.85546875" bestFit="1" customWidth="1" style="1" min="24" max="24"/>
    <col width="8.42578125" bestFit="1" customWidth="1" style="1" min="25" max="25"/>
    <col width="12.42578125" customWidth="1" min="26" max="26"/>
    <col width="9.85546875" bestFit="1" customWidth="1" style="1" min="27" max="27"/>
    <col width="8.42578125" bestFit="1" customWidth="1" style="1" min="28" max="28"/>
    <col width="6.42578125" bestFit="1" customWidth="1" min="29" max="29"/>
    <col width="9.85546875" bestFit="1" customWidth="1" style="1" min="30" max="30"/>
    <col width="8.42578125" bestFit="1" customWidth="1" style="1" min="31" max="31"/>
    <col width="6.85546875" bestFit="1" customWidth="1" min="32" max="32"/>
    <col width="9.85546875" bestFit="1" customWidth="1" style="1" min="33" max="33"/>
    <col width="8.42578125" bestFit="1" customWidth="1" style="1" min="34" max="34"/>
    <col width="6.85546875" bestFit="1" customWidth="1" min="35" max="35"/>
    <col width="9.85546875" bestFit="1" customWidth="1" style="1" min="36" max="36"/>
    <col width="8.42578125" bestFit="1" customWidth="1" style="1" min="37" max="37"/>
    <col width="7" bestFit="1" customWidth="1" min="38" max="38"/>
    <col width="9.85546875" bestFit="1" customWidth="1" style="1" min="39" max="39"/>
    <col width="8.42578125" bestFit="1" customWidth="1" style="1" min="40" max="40"/>
    <col width="7.85546875" bestFit="1" customWidth="1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min="46" max="46"/>
    <col width="7.85546875" bestFit="1" customWidth="1" min="47" max="47"/>
    <col width="9.85546875" bestFit="1" customWidth="1" min="48" max="48"/>
    <col width="8.42578125" bestFit="1" customWidth="1" min="49" max="49"/>
    <col width="6.85546875" bestFit="1" customWidth="1" min="50" max="50"/>
    <col width="9.85546875" bestFit="1" customWidth="1" min="51" max="51"/>
    <col width="8.42578125" bestFit="1" customWidth="1" min="52" max="52"/>
    <col width="6" bestFit="1" customWidth="1" min="53" max="53"/>
    <col width="9.85546875" bestFit="1" customWidth="1" min="54" max="54"/>
    <col width="8.42578125" bestFit="1" customWidth="1" min="55" max="55"/>
    <col width="7" bestFit="1" customWidth="1" min="56" max="56"/>
    <col width="9.85546875" bestFit="1" customWidth="1" min="57" max="57"/>
    <col width="8.42578125" bestFit="1" customWidth="1" min="58" max="58"/>
    <col width="7" bestFit="1" customWidth="1" min="59" max="59"/>
    <col width="9.85546875" bestFit="1" customWidth="1" min="60" max="60"/>
    <col width="8.42578125" bestFit="1" customWidth="1" min="61" max="61"/>
    <col width="6.28515625" bestFit="1" customWidth="1" min="62" max="62"/>
    <col width="9.85546875" bestFit="1" customWidth="1" min="63" max="63"/>
    <col width="8.42578125" bestFit="1" customWidth="1" min="64" max="64"/>
    <col width="6.140625" bestFit="1" customWidth="1" min="65" max="65"/>
    <col width="9.85546875" bestFit="1" customWidth="1" min="66" max="66"/>
    <col width="8.42578125" bestFit="1" customWidth="1" min="67" max="67"/>
    <col width="6.85546875" bestFit="1" customWidth="1" min="68" max="68"/>
    <col width="9.85546875" bestFit="1" customWidth="1" min="69" max="69"/>
    <col width="8.42578125" bestFit="1" customWidth="1" min="70" max="70"/>
    <col width="7.42578125" bestFit="1" customWidth="1" min="71" max="71"/>
    <col width="9.85546875" bestFit="1" customWidth="1" min="72" max="72"/>
    <col width="8.42578125" bestFit="1" customWidth="1" min="73" max="73"/>
    <col width="7" bestFit="1" customWidth="1" min="74" max="74"/>
    <col width="9.85546875" bestFit="1" customWidth="1" min="75" max="75"/>
    <col width="8.42578125" bestFit="1" customWidth="1" min="76" max="76"/>
    <col width="6.42578125" bestFit="1" customWidth="1" min="77" max="77"/>
    <col width="9.85546875" bestFit="1" customWidth="1" min="78" max="78"/>
    <col width="8.4257812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350</v>
      </c>
      <c r="L3" s="6">
        <f>K3-H3</f>
        <v/>
      </c>
      <c r="M3" s="12" t="n">
        <v>10000</v>
      </c>
      <c r="N3" s="60" t="n"/>
      <c r="O3" s="6">
        <f>N3-K3</f>
        <v/>
      </c>
      <c r="P3" s="12" t="n"/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>
        <v>115000</v>
      </c>
      <c r="E5" s="60" t="n">
        <v>120000</v>
      </c>
      <c r="F5" s="6" t="n">
        <v>222222</v>
      </c>
      <c r="G5" s="6" t="n">
        <v>15000</v>
      </c>
      <c r="H5" s="59" t="n">
        <v>222222</v>
      </c>
      <c r="I5" s="6">
        <f>H5-E5</f>
        <v/>
      </c>
      <c r="J5" s="6" t="n">
        <v>15000</v>
      </c>
      <c r="K5" s="59" t="n">
        <v>17912</v>
      </c>
      <c r="L5" s="6">
        <f>K5-H5</f>
        <v/>
      </c>
      <c r="M5" s="6" t="n">
        <v>212</v>
      </c>
      <c r="N5" s="60" t="n"/>
      <c r="O5" s="6">
        <f>N5-K5</f>
        <v/>
      </c>
      <c r="P5" s="6" t="n"/>
      <c r="Q5" s="60" t="n"/>
      <c r="R5" s="6">
        <f>Q5-N5</f>
        <v/>
      </c>
      <c r="S5" s="6" t="n"/>
      <c r="T5" s="60" t="n"/>
      <c r="U5" s="6">
        <f>T5-Q5</f>
        <v/>
      </c>
      <c r="V5" s="6" t="n"/>
      <c r="W5" s="60" t="n"/>
      <c r="X5" s="6">
        <f>W5-T5</f>
        <v/>
      </c>
      <c r="Y5" s="6" t="n"/>
      <c r="Z5" s="60" t="n"/>
      <c r="AA5" s="6">
        <f>Z5-W5</f>
        <v/>
      </c>
      <c r="AB5" s="6" t="n"/>
      <c r="AC5" s="60" t="n"/>
      <c r="AD5" s="6">
        <f>AC5-Z5</f>
        <v/>
      </c>
      <c r="AE5" s="6" t="n"/>
      <c r="AF5" s="60" t="n"/>
      <c r="AG5" s="6">
        <f>AF5-AC5</f>
        <v/>
      </c>
      <c r="AH5" s="6" t="n"/>
      <c r="AI5" s="60" t="n"/>
      <c r="AJ5" s="6">
        <f>AI5-AF5</f>
        <v/>
      </c>
      <c r="AK5" s="6" t="n"/>
      <c r="AL5" s="60" t="n"/>
      <c r="AM5" s="6">
        <f>AL5-AI5</f>
        <v/>
      </c>
      <c r="AN5" s="6" t="n"/>
      <c r="AO5" s="60" t="n"/>
      <c r="AP5" s="6">
        <f>AO5-AL5</f>
        <v/>
      </c>
      <c r="AQ5" s="6" t="n"/>
      <c r="AR5" s="60" t="n"/>
      <c r="AS5" s="6">
        <f>AR5-AO5</f>
        <v/>
      </c>
      <c r="AT5" s="6" t="n"/>
      <c r="AU5" s="60" t="n"/>
      <c r="AV5" s="6">
        <f>AU5-AR5</f>
        <v/>
      </c>
      <c r="AW5" s="6" t="n"/>
      <c r="AX5" s="60" t="n"/>
      <c r="AY5" s="6">
        <f>AX5-AU5</f>
        <v/>
      </c>
      <c r="AZ5" s="6" t="n"/>
      <c r="BA5" s="60" t="n"/>
      <c r="BB5" s="6">
        <f>BA5-AX5</f>
        <v/>
      </c>
      <c r="BC5" s="6" t="n"/>
      <c r="BD5" s="60" t="n"/>
      <c r="BE5" s="6">
        <f>BD5-BA5</f>
        <v/>
      </c>
      <c r="BF5" s="6" t="n"/>
      <c r="BG5" s="60" t="n"/>
      <c r="BH5" s="6">
        <f>BG5-BD5</f>
        <v/>
      </c>
      <c r="BI5" s="6" t="n"/>
      <c r="BJ5" s="60" t="n"/>
      <c r="BK5" s="6">
        <f>BJ5-BG5</f>
        <v/>
      </c>
      <c r="BL5" s="6" t="n"/>
      <c r="BM5" s="60" t="n"/>
      <c r="BN5" s="6">
        <f>BM5-BJ5</f>
        <v/>
      </c>
      <c r="BO5" s="6" t="n"/>
      <c r="BP5" s="60" t="n"/>
      <c r="BQ5" s="6">
        <f>BP5-BM5</f>
        <v/>
      </c>
      <c r="BR5" s="6" t="n"/>
      <c r="BS5" s="60" t="n"/>
      <c r="BT5" s="6">
        <f>BS5-BP5</f>
        <v/>
      </c>
      <c r="BU5" s="6" t="n"/>
      <c r="BV5" s="60" t="n"/>
      <c r="BW5" s="6">
        <f>BV5-BS5</f>
        <v/>
      </c>
      <c r="BX5" s="6" t="n"/>
      <c r="BY5" s="60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>
        <f>G5/F5</f>
        <v/>
      </c>
      <c r="H6" s="2" t="n"/>
      <c r="I6" s="72" t="n"/>
      <c r="J6" s="8">
        <f>J5/I5</f>
        <v/>
      </c>
      <c r="K6" s="2" t="n"/>
      <c r="L6" s="72" t="n"/>
      <c r="M6" s="8">
        <f>M5/L5</f>
        <v/>
      </c>
      <c r="N6" s="2" t="n"/>
      <c r="O6" s="72" t="n"/>
      <c r="P6" s="8">
        <f>P5/O5</f>
        <v/>
      </c>
      <c r="Q6" s="2" t="n"/>
      <c r="R6" s="72" t="n"/>
      <c r="S6" s="8">
        <f>S5/R5</f>
        <v/>
      </c>
      <c r="T6" s="2" t="n"/>
      <c r="U6" s="72" t="n"/>
      <c r="V6" s="8">
        <f>V5/U5</f>
        <v/>
      </c>
      <c r="W6" s="2" t="n"/>
      <c r="X6" s="72" t="n"/>
      <c r="Y6" s="8">
        <f>Y5/X5</f>
        <v/>
      </c>
      <c r="Z6" s="2" t="n"/>
      <c r="AA6" s="72" t="n"/>
      <c r="AB6" s="8">
        <f>AB5/AA5</f>
        <v/>
      </c>
      <c r="AC6" s="2" t="n"/>
      <c r="AD6" s="72" t="n"/>
      <c r="AE6" s="8">
        <f>AE5/AD5</f>
        <v/>
      </c>
      <c r="AF6" s="2" t="n"/>
      <c r="AG6" s="72" t="n"/>
      <c r="AH6" s="8">
        <f>AH5/AG5</f>
        <v/>
      </c>
      <c r="AI6" s="2" t="n"/>
      <c r="AJ6" s="72" t="n"/>
      <c r="AK6" s="8">
        <f>AK5/AJ5</f>
        <v/>
      </c>
      <c r="AL6" s="2" t="n"/>
      <c r="AM6" s="72" t="n"/>
      <c r="AN6" s="8">
        <f>AN5/AM5</f>
        <v/>
      </c>
      <c r="AO6" s="2" t="n"/>
      <c r="AP6" s="72" t="n"/>
      <c r="AQ6" s="8">
        <f>AQ5/AP5</f>
        <v/>
      </c>
      <c r="AR6" s="2" t="n"/>
      <c r="AS6" s="72" t="n"/>
      <c r="AT6" s="8">
        <f>AT5/AS5</f>
        <v/>
      </c>
      <c r="AU6" s="2" t="n"/>
      <c r="AV6" s="72" t="n"/>
      <c r="AW6" s="8">
        <f>AW5/AV5</f>
        <v/>
      </c>
      <c r="AX6" s="2" t="n"/>
      <c r="AY6" s="72" t="n"/>
      <c r="AZ6" s="8">
        <f>AZ5/AY5</f>
        <v/>
      </c>
      <c r="BA6" s="2" t="n"/>
      <c r="BB6" s="72" t="n"/>
      <c r="BC6" s="8">
        <f>BC5/BB5</f>
        <v/>
      </c>
      <c r="BD6" s="2" t="n"/>
      <c r="BE6" s="72" t="n"/>
      <c r="BF6" s="8">
        <f>BF5/BE5</f>
        <v/>
      </c>
      <c r="BG6" s="2" t="n"/>
      <c r="BH6" s="72" t="n"/>
      <c r="BI6" s="8">
        <f>BI5/BH5</f>
        <v/>
      </c>
      <c r="BJ6" s="2" t="n"/>
      <c r="BK6" s="72" t="n"/>
      <c r="BL6" s="8">
        <f>BL5/BK5</f>
        <v/>
      </c>
      <c r="BM6" s="2" t="n"/>
      <c r="BN6" s="72" t="n"/>
      <c r="BO6" s="8">
        <f>BO5/BN5</f>
        <v/>
      </c>
      <c r="BP6" s="2" t="n"/>
      <c r="BQ6" s="72" t="n"/>
      <c r="BR6" s="8">
        <f>BR5/BQ5</f>
        <v/>
      </c>
      <c r="BS6" s="2" t="n"/>
      <c r="BT6" s="72" t="n"/>
      <c r="BU6" s="8">
        <f>BU5/BT5</f>
        <v/>
      </c>
      <c r="BV6" s="2" t="n"/>
      <c r="BW6" s="72" t="n"/>
      <c r="BX6" s="8">
        <f>BX5/BW5</f>
        <v/>
      </c>
      <c r="BY6" s="2" t="n"/>
      <c r="BZ6" s="72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59" t="n">
        <v>115000</v>
      </c>
      <c r="E7" s="60" t="n">
        <v>120000</v>
      </c>
      <c r="F7" s="6" t="n">
        <v>222222</v>
      </c>
      <c r="G7" s="6" t="n">
        <v>20000</v>
      </c>
      <c r="H7" s="59" t="n">
        <v>222222</v>
      </c>
      <c r="I7" s="6">
        <f>H7-E7</f>
        <v/>
      </c>
      <c r="J7" s="6" t="n">
        <v>20000</v>
      </c>
      <c r="K7" s="59" t="n">
        <v>17912</v>
      </c>
      <c r="L7" s="6">
        <f>K7-H7</f>
        <v/>
      </c>
      <c r="M7" s="6" t="n">
        <v>12</v>
      </c>
      <c r="N7" s="60" t="n"/>
      <c r="O7" s="6">
        <f>N7-K7</f>
        <v/>
      </c>
      <c r="P7" s="6" t="n"/>
      <c r="Q7" s="60" t="n"/>
      <c r="R7" s="6">
        <f>Q7-N7</f>
        <v/>
      </c>
      <c r="S7" s="6" t="n"/>
      <c r="T7" s="60" t="n"/>
      <c r="U7" s="6">
        <f>T7-Q7</f>
        <v/>
      </c>
      <c r="V7" s="6" t="n"/>
      <c r="W7" s="60" t="n"/>
      <c r="X7" s="6">
        <f>W7-T7</f>
        <v/>
      </c>
      <c r="Y7" s="6" t="n"/>
      <c r="Z7" s="60" t="n"/>
      <c r="AA7" s="6">
        <f>Z7-W7</f>
        <v/>
      </c>
      <c r="AB7" s="6" t="n"/>
      <c r="AC7" s="60" t="n"/>
      <c r="AD7" s="6">
        <f>AC7-Z7</f>
        <v/>
      </c>
      <c r="AE7" s="6" t="n"/>
      <c r="AF7" s="60" t="n"/>
      <c r="AG7" s="6">
        <f>AF7-AC7</f>
        <v/>
      </c>
      <c r="AH7" s="6" t="n"/>
      <c r="AI7" s="60" t="n"/>
      <c r="AJ7" s="6">
        <f>AI7-AF7</f>
        <v/>
      </c>
      <c r="AK7" s="6" t="n"/>
      <c r="AL7" s="60" t="n"/>
      <c r="AM7" s="6">
        <f>AL7-AI7</f>
        <v/>
      </c>
      <c r="AN7" s="6" t="n"/>
      <c r="AO7" s="60" t="n"/>
      <c r="AP7" s="6">
        <f>AO7-AL7</f>
        <v/>
      </c>
      <c r="AQ7" s="6" t="n"/>
      <c r="AR7" s="60" t="n"/>
      <c r="AS7" s="6">
        <f>AR7-AO7</f>
        <v/>
      </c>
      <c r="AT7" s="6" t="n"/>
      <c r="AU7" s="60" t="n"/>
      <c r="AV7" s="6">
        <f>AU7-AR7</f>
        <v/>
      </c>
      <c r="AW7" s="6" t="n"/>
      <c r="AX7" s="60" t="n"/>
      <c r="AY7" s="6">
        <f>AX7-AU7</f>
        <v/>
      </c>
      <c r="AZ7" s="6" t="n"/>
      <c r="BA7" s="60" t="n"/>
      <c r="BB7" s="6">
        <f>BA7-AX7</f>
        <v/>
      </c>
      <c r="BC7" s="6" t="n"/>
      <c r="BD7" s="60" t="n"/>
      <c r="BE7" s="6">
        <f>BD7-BA7</f>
        <v/>
      </c>
      <c r="BF7" s="6" t="n"/>
      <c r="BG7" s="60" t="n"/>
      <c r="BH7" s="6">
        <f>BG7-BD7</f>
        <v/>
      </c>
      <c r="BI7" s="6" t="n"/>
      <c r="BJ7" s="60" t="n"/>
      <c r="BK7" s="6">
        <f>BJ7-BG7</f>
        <v/>
      </c>
      <c r="BL7" s="6" t="n"/>
      <c r="BM7" s="60" t="n"/>
      <c r="BN7" s="6">
        <f>BM7-BJ7</f>
        <v/>
      </c>
      <c r="BO7" s="6" t="n"/>
      <c r="BP7" s="60" t="n"/>
      <c r="BQ7" s="6">
        <f>BP7-BM7</f>
        <v/>
      </c>
      <c r="BR7" s="6" t="n"/>
      <c r="BS7" s="60" t="n"/>
      <c r="BT7" s="6">
        <f>BS7-BP7</f>
        <v/>
      </c>
      <c r="BU7" s="6" t="n"/>
      <c r="BV7" s="60" t="n"/>
      <c r="BW7" s="6">
        <f>BV7-BS7</f>
        <v/>
      </c>
      <c r="BX7" s="6" t="n"/>
      <c r="BY7" s="60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>
        <f>G7/F7</f>
        <v/>
      </c>
      <c r="H8" s="2" t="n"/>
      <c r="I8" s="72" t="n"/>
      <c r="J8" s="8">
        <f>J7/I7</f>
        <v/>
      </c>
      <c r="K8" s="2" t="n"/>
      <c r="L8" s="72" t="n"/>
      <c r="M8" s="8">
        <f>M7/L7</f>
        <v/>
      </c>
      <c r="N8" s="2" t="n"/>
      <c r="O8" s="72" t="n"/>
      <c r="P8" s="8">
        <f>P7/O7</f>
        <v/>
      </c>
      <c r="Q8" s="2" t="n"/>
      <c r="R8" s="72" t="n"/>
      <c r="S8" s="8">
        <f>S7/R7</f>
        <v/>
      </c>
      <c r="T8" s="2" t="n"/>
      <c r="U8" s="72" t="n"/>
      <c r="V8" s="8">
        <f>V7/U7</f>
        <v/>
      </c>
      <c r="W8" s="2" t="n"/>
      <c r="X8" s="72" t="n"/>
      <c r="Y8" s="8">
        <f>Y7/X7</f>
        <v/>
      </c>
      <c r="Z8" s="2" t="n"/>
      <c r="AA8" s="72" t="n"/>
      <c r="AB8" s="8">
        <f>AB7/AA7</f>
        <v/>
      </c>
      <c r="AC8" s="2" t="n"/>
      <c r="AD8" s="72" t="n"/>
      <c r="AE8" s="8">
        <f>AE7/AD7</f>
        <v/>
      </c>
      <c r="AF8" s="2" t="n"/>
      <c r="AG8" s="72" t="n"/>
      <c r="AH8" s="8">
        <f>AH7/AG7</f>
        <v/>
      </c>
      <c r="AI8" s="2" t="n"/>
      <c r="AJ8" s="72" t="n"/>
      <c r="AK8" s="8">
        <f>AK7/AJ7</f>
        <v/>
      </c>
      <c r="AL8" s="2" t="n"/>
      <c r="AM8" s="72" t="n"/>
      <c r="AN8" s="8">
        <f>AN7/AM7</f>
        <v/>
      </c>
      <c r="AO8" s="2" t="n"/>
      <c r="AP8" s="72" t="n"/>
      <c r="AQ8" s="8">
        <f>AQ7/AP7</f>
        <v/>
      </c>
      <c r="AR8" s="2" t="n"/>
      <c r="AS8" s="72" t="n"/>
      <c r="AT8" s="8">
        <f>AT7/AS7</f>
        <v/>
      </c>
      <c r="AU8" s="2" t="n"/>
      <c r="AV8" s="72" t="n"/>
      <c r="AW8" s="8">
        <f>AW7/AV7</f>
        <v/>
      </c>
      <c r="AX8" s="2" t="n"/>
      <c r="AY8" s="72" t="n"/>
      <c r="AZ8" s="8">
        <f>AZ7/AY7</f>
        <v/>
      </c>
      <c r="BA8" s="2" t="n"/>
      <c r="BB8" s="72" t="n"/>
      <c r="BC8" s="8">
        <f>BC7/BB7</f>
        <v/>
      </c>
      <c r="BD8" s="2" t="n"/>
      <c r="BE8" s="72" t="n"/>
      <c r="BF8" s="8">
        <f>BF7/BE7</f>
        <v/>
      </c>
      <c r="BG8" s="2" t="n"/>
      <c r="BH8" s="72" t="n"/>
      <c r="BI8" s="8">
        <f>BI7/BH7</f>
        <v/>
      </c>
      <c r="BJ8" s="2" t="n"/>
      <c r="BK8" s="72" t="n"/>
      <c r="BL8" s="8">
        <f>BL7/BK7</f>
        <v/>
      </c>
      <c r="BM8" s="2" t="n"/>
      <c r="BN8" s="72" t="n"/>
      <c r="BO8" s="8">
        <f>BO7/BN7</f>
        <v/>
      </c>
      <c r="BP8" s="2" t="n"/>
      <c r="BQ8" s="72" t="n"/>
      <c r="BR8" s="8">
        <f>BR7/BQ7</f>
        <v/>
      </c>
      <c r="BS8" s="2" t="n"/>
      <c r="BT8" s="72" t="n"/>
      <c r="BU8" s="8">
        <f>BU7/BT7</f>
        <v/>
      </c>
      <c r="BV8" s="2" t="n"/>
      <c r="BW8" s="72" t="n"/>
      <c r="BX8" s="8">
        <f>BX7/BW7</f>
        <v/>
      </c>
      <c r="BY8" s="2" t="n"/>
      <c r="BZ8" s="72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>
        <f>P9/$B3</f>
        <v/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/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baseColWidth="8" defaultColWidth="10" defaultRowHeight="15"/>
  <cols>
    <col width="14" bestFit="1" customWidth="1" min="1" max="1"/>
    <col width="12.7109375" bestFit="1" customWidth="1" min="2" max="2"/>
    <col width="24.140625" bestFit="1" customWidth="1" style="1" min="3" max="3"/>
    <col width="7.42578125" bestFit="1" customWidth="1" min="4" max="4"/>
    <col width="9.42578125" customWidth="1" min="5" max="5"/>
    <col width="9.85546875" bestFit="1" customWidth="1" style="1" min="6" max="6"/>
    <col width="13" customWidth="1" style="1" min="7" max="7"/>
    <col width="6.42578125" bestFit="1" customWidth="1" min="8" max="8"/>
    <col width="9.85546875" bestFit="1" customWidth="1" style="1" min="9" max="9"/>
    <col width="10.140625" customWidth="1" style="1" min="10" max="10"/>
    <col width="7.85546875" bestFit="1" customWidth="1" min="11" max="11"/>
    <col width="9.85546875" bestFit="1" customWidth="1" style="1" min="12" max="12"/>
    <col width="18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333333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inlineStr">
        <is>
          <t>11111</t>
        </is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inlineStr">
        <is>
          <t>22222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.1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J6" sqref="J6"/>
    </sheetView>
  </sheetViews>
  <sheetFormatPr baseColWidth="8" defaultColWidth="10" defaultRowHeight="15"/>
  <cols>
    <col width="13.140625" bestFit="1" customWidth="1" min="1" max="1"/>
    <col width="25.28515625" customWidth="1" min="2" max="2"/>
    <col width="25.42578125" customWidth="1" style="1" min="3" max="3"/>
    <col width="7.42578125" bestFit="1" customWidth="1" min="4" max="4"/>
    <col width="11.28515625" customWidth="1" min="5" max="5"/>
    <col width="9.85546875" bestFit="1" customWidth="1" style="1" min="6" max="6"/>
    <col width="11.28515625" customWidth="1" style="1" min="7" max="7"/>
    <col width="12.42578125" customWidth="1" min="8" max="8"/>
    <col width="9.85546875" bestFit="1" customWidth="1" style="1" min="9" max="9"/>
    <col width="13.7109375" customWidth="1" style="1" min="10" max="10"/>
    <col width="7.85546875" bestFit="1" customWidth="1" min="11" max="11"/>
    <col width="9.85546875" bestFit="1" customWidth="1" style="1" min="12" max="12"/>
    <col width="20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12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>
        <v>200000</v>
      </c>
      <c r="I3" s="22">
        <f>H3-E3</f>
        <v/>
      </c>
      <c r="J3" s="23">
        <f>I3*J4</f>
        <v/>
      </c>
      <c r="K3" s="21" t="inlineStr">
        <is>
          <t>678766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20000</v>
      </c>
      <c r="I5" s="22">
        <f>H5-E5</f>
        <v/>
      </c>
      <c r="J5" s="23">
        <f>I5*J6</f>
        <v/>
      </c>
      <c r="K5" s="21" t="inlineStr">
        <is>
          <t>11111</t>
        </is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>
        <v>20000</v>
      </c>
      <c r="I7" s="22">
        <f>H7-E7</f>
        <v/>
      </c>
      <c r="J7" s="69">
        <f>J8*I7</f>
        <v/>
      </c>
      <c r="K7" s="67" t="inlineStr">
        <is>
          <t>67656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baseColWidth="8" defaultColWidth="10" defaultRowHeight="15"/>
  <cols>
    <col width="13.140625" bestFit="1" customWidth="1" min="1" max="1"/>
    <col width="18.28515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28515625" customWidth="1" style="1" min="7" max="7"/>
    <col width="6.42578125" bestFit="1" customWidth="1" min="8" max="8"/>
    <col width="9.85546875" bestFit="1" customWidth="1" style="1" min="9" max="9"/>
    <col width="12" customWidth="1" style="1" min="10" max="10"/>
    <col width="10.85546875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Реестр!B4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345678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>
        <v>579</v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677890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baseColWidth="8" defaultColWidth="10" defaultRowHeight="15"/>
  <cols>
    <col width="13.140625" bestFit="1" customWidth="1" min="1" max="1"/>
    <col width="17.7109375" customWidth="1" min="2" max="2"/>
    <col width="25.42578125" customWidth="1" style="1" min="3" max="3"/>
    <col width="7.42578125" bestFit="1" customWidth="1" min="4" max="4"/>
    <col width="10" customWidth="1" min="5" max="5"/>
    <col width="9.85546875" bestFit="1" customWidth="1" style="1" min="6" max="6"/>
    <col width="9.28515625" customWidth="1" style="1" min="7" max="7"/>
    <col width="9.285156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Реестр!B5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0" defaultRowHeight="15"/>
  <cols>
    <col width="13.140625" bestFit="1" customWidth="1" min="1" max="1"/>
    <col width="21.140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" customWidth="1" style="1" min="7" max="7"/>
    <col width="6.425781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Реестр!B6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baseColWidth="8" defaultColWidth="10" defaultRowHeight="15"/>
  <cols>
    <col width="13.140625" bestFit="1" customWidth="1" min="1" max="1"/>
    <col width="20.42578125" bestFit="1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42578125" customWidth="1" style="1" min="7" max="7"/>
    <col width="6.42578125" bestFit="1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Реестр!B7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6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1.42578125" defaultRowHeight="15"/>
  <cols>
    <col width="14.85546875" customWidth="1" min="1" max="1"/>
    <col width="16.425781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10.140625" customWidth="1" style="1" min="7" max="7"/>
    <col width="9.7109375" customWidth="1" min="8" max="8"/>
    <col width="9.85546875" bestFit="1" customWidth="1" style="1" min="9" max="9"/>
    <col width="9.42578125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Реестр!#REF!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Реестр!#REF!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Реестр!#REF!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Реестр!#REF!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22222</v>
      </c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30" customHeight="1">
      <c r="A6" s="37" t="inlineStr">
        <is>
          <t>Имя 1</t>
        </is>
      </c>
      <c r="B6" s="34">
        <f>Реестр!#REF!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Реестр!#REF!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>
      <c r="A8" s="37" t="inlineStr">
        <is>
          <t>Имя 2</t>
        </is>
      </c>
      <c r="B8" s="33">
        <f>Реестр!#REF!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>
      <c r="A9" s="38" t="inlineStr">
        <is>
          <t>Контакт 2</t>
        </is>
      </c>
      <c r="B9" s="34">
        <f>Реестр!#REF!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Реестр!#REF!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7"/>
  <sheetViews>
    <sheetView tabSelected="1" zoomScale="125" zoomScaleNormal="100" workbookViewId="0">
      <selection activeCell="D9" sqref="D9"/>
    </sheetView>
  </sheetViews>
  <sheetFormatPr baseColWidth="8" defaultColWidth="11.42578125" defaultRowHeight="15"/>
  <cols>
    <col width="13.85546875" customWidth="1" min="1" max="1"/>
    <col width="10.85546875" customWidth="1" min="2" max="3"/>
    <col width="14.140625" customWidth="1" min="4" max="4"/>
    <col width="12.7109375" customWidth="1" min="5" max="5"/>
    <col width="23.42578125" customWidth="1" min="6" max="6"/>
    <col width="17.85546875" customWidth="1" min="7" max="7"/>
    <col width="10.28515625" customWidth="1" min="8" max="9"/>
    <col width="13.85546875" customWidth="1" min="10" max="10"/>
    <col width="14.85546875" customWidth="1" min="12" max="12"/>
    <col width="13.28515625" customWidth="1" min="14" max="14"/>
    <col width="7.140625" customWidth="1" min="15" max="15"/>
    <col width="12.140625" customWidth="1" min="16" max="16"/>
    <col width="18.28515625" customWidth="1" min="17" max="18"/>
    <col width="14" customWidth="1" min="20" max="20"/>
  </cols>
  <sheetData>
    <row r="1" ht="18.95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t="n">
        <v>767600</v>
      </c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t="n">
        <v>50000</v>
      </c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t="n">
        <v>60000</v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>
        <v>100000</v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>
        <v>59998</v>
      </c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>
        <v>89889</v>
      </c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№12 12.12.2026</t>
        </is>
      </c>
      <c r="D8" t="n">
        <v>1234567890</v>
      </c>
      <c r="E8" t="inlineStr">
        <is>
          <t>ООО</t>
        </is>
      </c>
      <c r="F8" t="inlineStr">
        <is>
          <t>Ранель-Панель</t>
        </is>
      </c>
      <c r="G8" t="inlineStr">
        <is>
          <t>Панели</t>
        </is>
      </c>
      <c r="H8" t="n">
        <v>100</v>
      </c>
      <c r="I8" t="inlineStr">
        <is>
          <t>K100.0</t>
        </is>
      </c>
      <c r="K8" s="83" t="n">
        <v>47099</v>
      </c>
      <c r="L8" t="n">
        <v>60000</v>
      </c>
      <c r="N8" t="inlineStr">
        <is>
          <t>89393497741</t>
        </is>
      </c>
      <c r="R8" t="inlineStr">
        <is>
          <t>Нагимов</t>
        </is>
      </c>
      <c r="S8" t="inlineStr">
        <is>
          <t>Ранель</t>
        </is>
      </c>
      <c r="T8" t="inlineStr">
        <is>
          <t>Алмазович</t>
        </is>
      </c>
      <c r="V8" t="inlineStr">
        <is>
          <t>12.12.2028</t>
        </is>
      </c>
    </row>
    <row r="9">
      <c r="A9" t="inlineStr">
        <is>
          <t>№16 13.10.2023</t>
        </is>
      </c>
      <c r="D9" t="n">
        <v>987654321</v>
      </c>
      <c r="E9" t="inlineStr">
        <is>
          <t>ООО</t>
        </is>
      </c>
      <c r="F9" t="inlineStr">
        <is>
          <t>ВсемОкна</t>
        </is>
      </c>
      <c r="G9" t="inlineStr">
        <is>
          <t>Окна</t>
        </is>
      </c>
      <c r="H9" t="n">
        <v>120</v>
      </c>
      <c r="I9" t="inlineStr">
        <is>
          <t>K120.0</t>
        </is>
      </c>
      <c r="K9" s="83" t="n">
        <v>45581</v>
      </c>
      <c r="L9" t="n">
        <v>60000</v>
      </c>
      <c r="N9" t="inlineStr">
        <is>
          <t>89563251602</t>
        </is>
      </c>
      <c r="R9" t="inlineStr">
        <is>
          <t>Иванов</t>
        </is>
      </c>
      <c r="S9" t="inlineStr">
        <is>
          <t>Максим</t>
        </is>
      </c>
      <c r="T9" t="inlineStr">
        <is>
          <t>Иванович</t>
        </is>
      </c>
      <c r="V9" t="inlineStr">
        <is>
          <t>12.09.2028</t>
        </is>
      </c>
    </row>
    <row r="10">
      <c r="A10" t="inlineStr">
        <is>
          <t>№19 13.02.2023</t>
        </is>
      </c>
      <c r="D10" t="inlineStr">
        <is>
          <t>0192837465</t>
        </is>
      </c>
      <c r="E10" t="inlineStr">
        <is>
          <t>ИП</t>
        </is>
      </c>
      <c r="F10" t="inlineStr">
        <is>
          <t>ДомСтрой</t>
        </is>
      </c>
      <c r="G10" t="inlineStr">
        <is>
          <t>Строй-Материалы</t>
        </is>
      </c>
      <c r="H10" t="n">
        <v>130</v>
      </c>
      <c r="I10" t="inlineStr">
        <is>
          <t>K130.0</t>
        </is>
      </c>
      <c r="K10" s="84" t="n">
        <v>46368</v>
      </c>
      <c r="L10" t="n">
        <v>60000</v>
      </c>
      <c r="N10" t="inlineStr">
        <is>
          <t>89123456789</t>
        </is>
      </c>
      <c r="R10" t="inlineStr">
        <is>
          <t>Сидоров</t>
        </is>
      </c>
      <c r="S10" t="inlineStr">
        <is>
          <t>Сергей</t>
        </is>
      </c>
      <c r="T10" t="inlineStr">
        <is>
          <t>Иванович</t>
        </is>
      </c>
      <c r="V10" t="inlineStr">
        <is>
          <t>12.12.2028</t>
        </is>
      </c>
    </row>
    <row r="11">
      <c r="A11" t="inlineStr">
        <is>
          <t>№12 20.10.2020</t>
        </is>
      </c>
      <c r="D11" t="inlineStr">
        <is>
          <t>0000011111</t>
        </is>
      </c>
      <c r="E11" t="inlineStr">
        <is>
          <t>ООО</t>
        </is>
      </c>
      <c r="F11" t="inlineStr">
        <is>
          <t>0000001111</t>
        </is>
      </c>
      <c r="G11" t="inlineStr">
        <is>
          <t>чилл</t>
        </is>
      </c>
      <c r="H11" t="n">
        <v>2324</v>
      </c>
      <c r="I11" t="inlineStr">
        <is>
          <t>K2324.0</t>
        </is>
      </c>
      <c r="K11" s="85" t="n">
        <v>41255</v>
      </c>
      <c r="N11" t="inlineStr">
        <is>
          <t>89393374081</t>
        </is>
      </c>
      <c r="R11" t="inlineStr">
        <is>
          <t>Шагиахметов</t>
        </is>
      </c>
      <c r="S11" t="inlineStr">
        <is>
          <t>Амин</t>
        </is>
      </c>
      <c r="T11" t="inlineStr">
        <is>
          <t>Айратович</t>
        </is>
      </c>
      <c r="V11" t="inlineStr">
        <is>
          <t>20.12.2027</t>
        </is>
      </c>
    </row>
    <row r="12">
      <c r="A12" t="inlineStr">
        <is>
          <t>№14 12.12.2002</t>
        </is>
      </c>
      <c r="D12" t="inlineStr">
        <is>
          <t>1111111000</t>
        </is>
      </c>
      <c r="E12" t="inlineStr">
        <is>
          <t>ООО</t>
        </is>
      </c>
      <c r="F12" t="inlineStr">
        <is>
          <t>Пивозавр</t>
        </is>
      </c>
      <c r="G12" t="inlineStr">
        <is>
          <t>ггол</t>
        </is>
      </c>
      <c r="H12" t="n">
        <v>4332</v>
      </c>
      <c r="I12" t="inlineStr">
        <is>
          <t>K4332.0</t>
        </is>
      </c>
      <c r="K12" s="85" t="n">
        <v>36872</v>
      </c>
      <c r="N12" t="inlineStr">
        <is>
          <t>79393374081</t>
        </is>
      </c>
      <c r="R12" t="inlineStr">
        <is>
          <t>Шагиахметов</t>
        </is>
      </c>
      <c r="S12" t="inlineStr">
        <is>
          <t>Амин</t>
        </is>
      </c>
      <c r="T12" t="inlineStr">
        <is>
          <t>Айратович</t>
        </is>
      </c>
      <c r="V12" t="inlineStr">
        <is>
          <t>12.12.2030</t>
        </is>
      </c>
    </row>
    <row r="13">
      <c r="A13" t="inlineStr">
        <is>
          <t>№88 12.02.2022</t>
        </is>
      </c>
      <c r="D13" t="inlineStr">
        <is>
          <t>3434343434</t>
        </is>
      </c>
      <c r="E13" t="inlineStr">
        <is>
          <t>ООО</t>
        </is>
      </c>
      <c r="F13" t="inlineStr">
        <is>
          <t>Зиверт</t>
        </is>
      </c>
      <c r="G13" t="inlineStr">
        <is>
          <t>футбольные мячи</t>
        </is>
      </c>
      <c r="H13" t="n">
        <v>777</v>
      </c>
      <c r="I13" t="inlineStr">
        <is>
          <t>K777.0</t>
        </is>
      </c>
      <c r="K13" s="85" t="n">
        <v>44177</v>
      </c>
      <c r="N13" t="inlineStr">
        <is>
          <t>89393374088</t>
        </is>
      </c>
      <c r="R13" t="inlineStr">
        <is>
          <t>Криштиан</t>
        </is>
      </c>
      <c r="S13" t="inlineStr">
        <is>
          <t>Роналдов</t>
        </is>
      </c>
      <c r="T13" t="inlineStr">
        <is>
          <t>Олегович</t>
        </is>
      </c>
      <c r="V13" t="inlineStr">
        <is>
          <t>12.12.2050</t>
        </is>
      </c>
    </row>
    <row r="14">
      <c r="A14" t="inlineStr">
        <is>
          <t>№1 12.12.2000</t>
        </is>
      </c>
      <c r="D14" t="inlineStr">
        <is>
          <t>9999999999</t>
        </is>
      </c>
      <c r="E14" t="inlineStr">
        <is>
          <t>ООО</t>
        </is>
      </c>
      <c r="F14" t="inlineStr">
        <is>
          <t>ПИра</t>
        </is>
      </c>
      <c r="G14" t="inlineStr">
        <is>
          <t>автозапчасти</t>
        </is>
      </c>
      <c r="H14" t="n">
        <v>4445</v>
      </c>
      <c r="I14" t="inlineStr">
        <is>
          <t>K4445.0</t>
        </is>
      </c>
      <c r="K14" s="85" t="n">
        <v>36872</v>
      </c>
      <c r="N14" t="inlineStr">
        <is>
          <t>89393375050</t>
        </is>
      </c>
      <c r="R14" t="inlineStr">
        <is>
          <t>Жушин</t>
        </is>
      </c>
      <c r="S14" t="inlineStr">
        <is>
          <t>Жжжужж</t>
        </is>
      </c>
      <c r="T14" t="inlineStr">
        <is>
          <t>Менгович</t>
        </is>
      </c>
      <c r="V14" t="inlineStr">
        <is>
          <t>12.12.2070</t>
        </is>
      </c>
    </row>
    <row r="15">
      <c r="A15" t="inlineStr">
        <is>
          <t>№33 12.12.2000</t>
        </is>
      </c>
      <c r="D15" t="inlineStr">
        <is>
          <t>222222233377</t>
        </is>
      </c>
      <c r="E15" t="inlineStr">
        <is>
          <t>ООО</t>
        </is>
      </c>
      <c r="F15" t="inlineStr">
        <is>
          <t>ЗИПКА</t>
        </is>
      </c>
      <c r="G15" t="inlineStr">
        <is>
          <t>строители</t>
        </is>
      </c>
      <c r="H15" t="n">
        <v>898</v>
      </c>
      <c r="I15" t="inlineStr">
        <is>
          <t>K898.0</t>
        </is>
      </c>
      <c r="K15" s="85" t="n">
        <v>40858</v>
      </c>
      <c r="N15" t="inlineStr">
        <is>
          <t>89494478181</t>
        </is>
      </c>
      <c r="R15" t="inlineStr">
        <is>
          <t>ВЕОЛОВИЧ</t>
        </is>
      </c>
      <c r="S15" t="inlineStr">
        <is>
          <t>Вилиан</t>
        </is>
      </c>
      <c r="T15" t="inlineStr">
        <is>
          <t>Альбертович</t>
        </is>
      </c>
      <c r="V15" t="inlineStr">
        <is>
          <t>12.12.2060</t>
        </is>
      </c>
    </row>
    <row r="16">
      <c r="A16" t="inlineStr">
        <is>
          <t>№14 12.12.2000</t>
        </is>
      </c>
      <c r="D16" t="inlineStr">
        <is>
          <t>9999999955</t>
        </is>
      </c>
      <c r="E16" t="inlineStr">
        <is>
          <t>ООО</t>
        </is>
      </c>
      <c r="F16" t="inlineStr">
        <is>
          <t>Ibae</t>
        </is>
      </c>
      <c r="G16" t="inlineStr">
        <is>
          <t>Пекарня</t>
        </is>
      </c>
      <c r="H16" t="n">
        <v>3346</v>
      </c>
      <c r="I16" t="inlineStr">
        <is>
          <t>K3346.0</t>
        </is>
      </c>
      <c r="K16" s="85" t="n">
        <v>36872</v>
      </c>
      <c r="N16" t="inlineStr">
        <is>
          <t>89568880381</t>
        </is>
      </c>
      <c r="R16" t="inlineStr">
        <is>
          <t>Ричиев</t>
        </is>
      </c>
      <c r="S16" t="inlineStr">
        <is>
          <t>Ричард</t>
        </is>
      </c>
      <c r="T16" t="inlineStr">
        <is>
          <t>Ричич</t>
        </is>
      </c>
      <c r="V16" t="inlineStr">
        <is>
          <t>12.12.2070</t>
        </is>
      </c>
    </row>
    <row r="17">
      <c r="A17" t="inlineStr">
        <is>
          <t>№12 20.10.2000</t>
        </is>
      </c>
      <c r="D17" t="inlineStr">
        <is>
          <t>8888888877</t>
        </is>
      </c>
      <c r="E17" t="inlineStr">
        <is>
          <t>ООО</t>
        </is>
      </c>
      <c r="F17" t="inlineStr">
        <is>
          <t>Gucci</t>
        </is>
      </c>
      <c r="G17" t="inlineStr">
        <is>
          <t>футбольный магазин</t>
        </is>
      </c>
      <c r="H17" t="n">
        <v>666</v>
      </c>
      <c r="I17" t="inlineStr">
        <is>
          <t>K666.0</t>
        </is>
      </c>
      <c r="K17" s="85" t="n">
        <v>36872</v>
      </c>
      <c r="N17" t="inlineStr">
        <is>
          <t>88005553535</t>
        </is>
      </c>
      <c r="R17" t="inlineStr">
        <is>
          <t>Марадона</t>
        </is>
      </c>
      <c r="S17" t="inlineStr">
        <is>
          <t>Диего</t>
        </is>
      </c>
      <c r="T17" t="inlineStr">
        <is>
          <t>Армандо</t>
        </is>
      </c>
      <c r="V17" t="inlineStr">
        <is>
          <t>12.12.2043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K7" sqref="K7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H8" sqref="H8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245077</v>
      </c>
      <c r="I3" s="22">
        <f>H3-E3</f>
        <v/>
      </c>
      <c r="J3" s="23">
        <f>I3*J4</f>
        <v/>
      </c>
      <c r="K3" s="21" t="inlineStr">
        <is>
          <t>123456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32477</v>
      </c>
      <c r="I5" s="22">
        <f>H5-E5</f>
        <v/>
      </c>
      <c r="J5" s="23">
        <f>I5*J6</f>
        <v/>
      </c>
      <c r="K5" s="21" t="n">
        <v>24690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17877</v>
      </c>
      <c r="I7" s="22">
        <f>H7-E7</f>
        <v/>
      </c>
      <c r="J7" s="69">
        <f>J8*I7</f>
        <v/>
      </c>
      <c r="K7" s="67" t="inlineStr">
        <is>
          <t>12345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123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34556778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2026-03-05T19:16:55Z</dcterms:modified>
  <cp:lastModifiedBy>Amin</cp:lastModifiedBy>
</cp:coreProperties>
</file>