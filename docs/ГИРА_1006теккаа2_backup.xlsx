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20" yWindow="3240" windowWidth="21600" windowHeight="11280" tabRatio="600" firstSheet="5" activeTab="13" autoFilterDateGrouping="1"/>
  </bookViews>
  <sheets>
    <sheet xmlns:r="http://schemas.openxmlformats.org/officeDocument/2006/relationships" name="0. ГИРА" sheetId="1" state="visible" r:id="rId1"/>
    <sheet xmlns:r="http://schemas.openxmlformats.org/officeDocument/2006/relationships" name="К123,40" sheetId="2" state="visible" r:id="rId2"/>
    <sheet xmlns:r="http://schemas.openxmlformats.org/officeDocument/2006/relationships" name="К102,60" sheetId="3" state="visible" r:id="rId3"/>
    <sheet xmlns:r="http://schemas.openxmlformats.org/officeDocument/2006/relationships" name="К45,20" sheetId="4" state="visible" r:id="rId4"/>
    <sheet xmlns:r="http://schemas.openxmlformats.org/officeDocument/2006/relationships" name="К43,30" sheetId="5" state="visible" r:id="rId5"/>
    <sheet xmlns:r="http://schemas.openxmlformats.org/officeDocument/2006/relationships" name="К36,00" sheetId="6" state="visible" r:id="rId6"/>
    <sheet xmlns:r="http://schemas.openxmlformats.org/officeDocument/2006/relationships" name="К28,35" sheetId="7" state="visible" r:id="rId7"/>
    <sheet xmlns:r="http://schemas.openxmlformats.org/officeDocument/2006/relationships" name="К23" sheetId="8" state="visible" r:id="rId8"/>
    <sheet xmlns:r="http://schemas.openxmlformats.org/officeDocument/2006/relationships" name="Реестр" sheetId="9" state="visible" r:id="rId9"/>
    <sheet xmlns:r="http://schemas.openxmlformats.org/officeDocument/2006/relationships" name="Аренда" sheetId="10" state="visible" r:id="rId10"/>
    <sheet xmlns:r="http://schemas.openxmlformats.org/officeDocument/2006/relationships" name="ЛИСТШАБЛОН" sheetId="11" state="visible" r:id="rId11"/>
    <sheet xmlns:r="http://schemas.openxmlformats.org/officeDocument/2006/relationships" name="K666.0" sheetId="12" state="visible" r:id="rId12"/>
    <sheet xmlns:r="http://schemas.openxmlformats.org/officeDocument/2006/relationships" name="K8888.0" sheetId="13" state="visible" r:id="rId13"/>
    <sheet xmlns:r="http://schemas.openxmlformats.org/officeDocument/2006/relationships" name="K100.0" sheetId="14" state="visible" r:id="rId14"/>
    <sheet xmlns:r="http://schemas.openxmlformats.org/officeDocument/2006/relationships" name="K120.0" sheetId="15" state="visible" r:id="rId15"/>
    <sheet xmlns:r="http://schemas.openxmlformats.org/officeDocument/2006/relationships" name="K130.0" sheetId="16" state="visible" r:id="rId16"/>
    <sheet xmlns:r="http://schemas.openxmlformats.org/officeDocument/2006/relationships" name="K2324.0" sheetId="17" state="visible" r:id="rId17"/>
    <sheet xmlns:r="http://schemas.openxmlformats.org/officeDocument/2006/relationships" name="K4332.0" sheetId="18" state="visible" r:id="rId18"/>
    <sheet xmlns:r="http://schemas.openxmlformats.org/officeDocument/2006/relationships" name="K777.0" sheetId="19" state="visible" r:id="rId19"/>
    <sheet xmlns:r="http://schemas.openxmlformats.org/officeDocument/2006/relationships" name="K4445.0" sheetId="20" state="visible" r:id="rId20"/>
    <sheet xmlns:r="http://schemas.openxmlformats.org/officeDocument/2006/relationships" name="K898.0" sheetId="21" state="visible" r:id="rId21"/>
    <sheet xmlns:r="http://schemas.openxmlformats.org/officeDocument/2006/relationships" name="K3346.0" sheetId="22" state="visible" r:id="rId22"/>
    <sheet xmlns:r="http://schemas.openxmlformats.org/officeDocument/2006/relationships" name="K666.0_1" sheetId="23" state="visible" r:id="rId23"/>
    <sheet xmlns:r="http://schemas.openxmlformats.org/officeDocument/2006/relationships" name="K377.0" sheetId="24" state="visible" r:id="rId24"/>
    <sheet xmlns:r="http://schemas.openxmlformats.org/officeDocument/2006/relationships" name="K55.0" sheetId="25" state="visible" r:id="rId25"/>
    <sheet xmlns:r="http://schemas.openxmlformats.org/officeDocument/2006/relationships" name="K65.0" sheetId="26" state="visible" r:id="rId26"/>
    <sheet xmlns:r="http://schemas.openxmlformats.org/officeDocument/2006/relationships" name="K23.0" sheetId="27" state="visible" r:id="rId27"/>
    <sheet xmlns:r="http://schemas.openxmlformats.org/officeDocument/2006/relationships" name="K132.0" sheetId="28" state="visible" r:id="rId28"/>
    <sheet xmlns:r="http://schemas.openxmlformats.org/officeDocument/2006/relationships" name="K45.0_1" sheetId="29" state="visible" r:id="rId29"/>
  </sheets>
  <externalReferences>
    <externalReference xmlns:r="http://schemas.openxmlformats.org/officeDocument/2006/relationships" r:id="rId30"/>
    <externalReference xmlns:r="http://schemas.openxmlformats.org/officeDocument/2006/relationships" r:id="rId31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0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i val="1"/>
      <color theme="1"/>
      <sz val="11"/>
      <scheme val="minor"/>
    </font>
    <font>
      <name val="Calibri"/>
      <charset val="204"/>
      <family val="2"/>
      <i val="1"/>
      <color rgb="FFFF0000"/>
      <sz val="11"/>
      <scheme val="minor"/>
    </font>
    <font>
      <name val="Calibri"/>
      <family val="2"/>
      <color rgb="FF000000"/>
      <sz val="11"/>
      <scheme val="minor"/>
    </font>
    <font>
      <name val="Calibri (Основной текст)"/>
      <charset val="204"/>
      <b val="1"/>
      <i val="1"/>
      <color rgb="FFFF0000"/>
      <sz val="11"/>
    </font>
    <font>
      <name val="Calibri"/>
      <charset val="204"/>
      <family val="2"/>
      <color rgb="FF000000"/>
      <sz val="11"/>
      <scheme val="minor"/>
    </font>
    <font>
      <name val="Calibri (Основной текст)"/>
      <charset val="204"/>
      <color rgb="FF000000"/>
      <sz val="12"/>
    </font>
    <font>
      <name val="Calibri"/>
      <charset val="204"/>
      <family val="2"/>
      <b val="1"/>
      <i val="1"/>
      <color rgb="FF000000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599993896298104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DEBF7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0" borderId="0" pivotButton="0" quotePrefix="0" xfId="0"/>
    <xf numFmtId="0" fontId="1" fillId="0" borderId="4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3" fillId="3" borderId="4" pivotButton="0" quotePrefix="0" xfId="0"/>
    <xf numFmtId="0" fontId="3" fillId="4" borderId="4" pivotButton="0" quotePrefix="0" xfId="0"/>
    <xf numFmtId="0" fontId="3" fillId="5" borderId="4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4" fontId="3" fillId="3" borderId="4" pivotButton="0" quotePrefix="0" xfId="0"/>
    <xf numFmtId="17" fontId="0" fillId="0" borderId="1" applyAlignment="1" pivotButton="0" quotePrefix="0" xfId="0">
      <alignment horizontal="center"/>
    </xf>
    <xf numFmtId="3" fontId="0" fillId="0" borderId="0" pivotButton="0" quotePrefix="0" xfId="0"/>
    <xf numFmtId="3" fontId="3" fillId="0" borderId="0" pivotButton="0" quotePrefix="0" xfId="0"/>
    <xf numFmtId="4" fontId="3" fillId="0" borderId="0" pivotButton="0" quotePrefix="0" xfId="0"/>
    <xf numFmtId="0" fontId="0" fillId="0" borderId="5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17" fontId="0" fillId="0" borderId="5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 wrapText="1"/>
    </xf>
    <xf numFmtId="3" fontId="0" fillId="2" borderId="5" applyAlignment="1" pivotButton="0" quotePrefix="0" xfId="0">
      <alignment horizontal="center"/>
    </xf>
    <xf numFmtId="3" fontId="3" fillId="5" borderId="5" applyAlignment="1" pivotButton="0" quotePrefix="0" xfId="0">
      <alignment horizontal="center"/>
    </xf>
    <xf numFmtId="4" fontId="3" fillId="5" borderId="5" applyAlignment="1" pivotButton="0" quotePrefix="0" xfId="0">
      <alignment horizontal="center"/>
    </xf>
    <xf numFmtId="3" fontId="0" fillId="0" borderId="5" applyAlignment="1" pivotButton="0" quotePrefix="0" xfId="0">
      <alignment horizontal="center"/>
    </xf>
    <xf numFmtId="4" fontId="3" fillId="7" borderId="5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4" fillId="0" borderId="5" applyAlignment="1" pivotButton="0" quotePrefix="0" xfId="0">
      <alignment horizontal="center"/>
    </xf>
    <xf numFmtId="0" fontId="2" fillId="0" borderId="5" applyAlignment="1" pivotButton="0" quotePrefix="0" xfId="0">
      <alignment vertical="center" wrapText="1"/>
    </xf>
    <xf numFmtId="0" fontId="0" fillId="0" borderId="5" pivotButton="0" quotePrefix="0" xfId="0"/>
    <xf numFmtId="0" fontId="0" fillId="8" borderId="5" applyAlignment="1" pivotButton="0" quotePrefix="0" xfId="0">
      <alignment horizontal="center"/>
    </xf>
    <xf numFmtId="0" fontId="0" fillId="9" borderId="5" applyAlignment="1" pivotButton="0" quotePrefix="0" xfId="0">
      <alignment horizontal="center"/>
    </xf>
    <xf numFmtId="0" fontId="0" fillId="9" borderId="5" applyAlignment="1" pivotButton="0" quotePrefix="0" xfId="0">
      <alignment horizontal="center" vertical="center"/>
    </xf>
    <xf numFmtId="0" fontId="0" fillId="11" borderId="5" applyAlignment="1" pivotButton="0" quotePrefix="0" xfId="0">
      <alignment horizontal="center" vertical="center"/>
    </xf>
    <xf numFmtId="0" fontId="0" fillId="11" borderId="5" pivotButton="0" quotePrefix="0" xfId="0"/>
    <xf numFmtId="0" fontId="5" fillId="10" borderId="5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/>
    </xf>
    <xf numFmtId="14" fontId="7" fillId="0" borderId="5" applyAlignment="1" pivotButton="0" quotePrefix="0" xfId="0">
      <alignment horizontal="center"/>
    </xf>
    <xf numFmtId="0" fontId="0" fillId="11" borderId="5" applyAlignment="1" pivotButton="0" quotePrefix="0" xfId="0">
      <alignment horizontal="center"/>
    </xf>
    <xf numFmtId="0" fontId="0" fillId="0" borderId="5" applyAlignment="1" pivotButton="0" quotePrefix="0" xfId="0">
      <alignment horizontal="center" wrapText="1"/>
    </xf>
    <xf numFmtId="14" fontId="7" fillId="12" borderId="5" applyAlignment="1" pivotButton="0" quotePrefix="0" xfId="0">
      <alignment horizontal="center"/>
    </xf>
    <xf numFmtId="0" fontId="2" fillId="11" borderId="5" applyAlignment="1" pivotButton="0" quotePrefix="0" xfId="0">
      <alignment horizontal="center"/>
    </xf>
    <xf numFmtId="0" fontId="0" fillId="8" borderId="0" pivotButton="0" quotePrefix="0" xfId="0"/>
    <xf numFmtId="0" fontId="0" fillId="8" borderId="5" pivotButton="0" quotePrefix="0" xfId="0"/>
    <xf numFmtId="0" fontId="0" fillId="8" borderId="5" applyAlignment="1" pivotButton="0" quotePrefix="0" xfId="0">
      <alignment horizontal="right"/>
    </xf>
    <xf numFmtId="0" fontId="0" fillId="8" borderId="6" applyAlignment="1" pivotButton="0" quotePrefix="0" xfId="0">
      <alignment horizontal="center"/>
    </xf>
    <xf numFmtId="0" fontId="0" fillId="11" borderId="6" applyAlignment="1" pivotButton="0" quotePrefix="0" xfId="0">
      <alignment horizontal="center"/>
    </xf>
    <xf numFmtId="0" fontId="0" fillId="11" borderId="4" applyAlignment="1" pivotButton="0" quotePrefix="0" xfId="0">
      <alignment horizontal="center"/>
    </xf>
    <xf numFmtId="0" fontId="0" fillId="11" borderId="6" applyAlignment="1" pivotButton="0" quotePrefix="0" xfId="0">
      <alignment horizontal="center" vertical="center"/>
    </xf>
    <xf numFmtId="17" fontId="0" fillId="0" borderId="0" pivotButton="0" quotePrefix="0" xfId="0"/>
    <xf numFmtId="0" fontId="0" fillId="11" borderId="4" applyAlignment="1" pivotButton="0" quotePrefix="0" xfId="0">
      <alignment horizontal="center" vertical="center"/>
    </xf>
    <xf numFmtId="0" fontId="0" fillId="11" borderId="7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1" borderId="8" applyAlignment="1" pivotButton="0" quotePrefix="0" xfId="0">
      <alignment horizontal="center"/>
    </xf>
    <xf numFmtId="0" fontId="0" fillId="13" borderId="4" pivotButton="0" quotePrefix="0" xfId="0"/>
    <xf numFmtId="0" fontId="0" fillId="8" borderId="9" applyAlignment="1" pivotButton="0" quotePrefix="0" xfId="0">
      <alignment horizontal="right"/>
    </xf>
    <xf numFmtId="0" fontId="0" fillId="8" borderId="4" pivotButton="0" quotePrefix="0" xfId="0"/>
    <xf numFmtId="0" fontId="0" fillId="2" borderId="2" applyProtection="1" pivotButton="0" quotePrefix="0" xfId="0">
      <protection locked="0" hidden="0"/>
    </xf>
    <xf numFmtId="0" fontId="0" fillId="2" borderId="4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14" borderId="8" applyAlignment="1" pivotButton="0" quotePrefix="0" xfId="0">
      <alignment horizontal="center"/>
    </xf>
    <xf numFmtId="0" fontId="0" fillId="6" borderId="8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5" fillId="15" borderId="10" applyAlignment="1" pivotButton="0" quotePrefix="0" xfId="0">
      <alignment horizontal="center"/>
    </xf>
    <xf numFmtId="3" fontId="5" fillId="16" borderId="11" applyAlignment="1" pivotButton="0" quotePrefix="0" xfId="0">
      <alignment horizontal="center"/>
    </xf>
    <xf numFmtId="3" fontId="9" fillId="17" borderId="11" applyAlignment="1" pivotButton="0" quotePrefix="0" xfId="0">
      <alignment horizontal="center"/>
    </xf>
    <xf numFmtId="4" fontId="9" fillId="17" borderId="11" applyAlignment="1" pivotButton="0" quotePrefix="0" xfId="0">
      <alignment horizontal="center"/>
    </xf>
    <xf numFmtId="3" fontId="5" fillId="0" borderId="12" applyAlignment="1" pivotButton="0" quotePrefix="0" xfId="0">
      <alignment horizontal="center"/>
    </xf>
    <xf numFmtId="4" fontId="9" fillId="18" borderId="12" applyAlignment="1" pivotButton="0" quotePrefix="0" xfId="0">
      <alignment horizontal="center"/>
    </xf>
    <xf numFmtId="0" fontId="3" fillId="0" borderId="4" pivotButton="0" quotePrefix="0" xfId="0"/>
    <xf numFmtId="17" fontId="0" fillId="6" borderId="1" pivotButton="0" quotePrefix="0" xfId="0"/>
    <xf numFmtId="0" fontId="3" fillId="0" borderId="5" pivotButton="0" quotePrefix="0" xfId="0"/>
    <xf numFmtId="17" fontId="0" fillId="6" borderId="5" pivotButton="0" quotePrefix="0" xfId="0"/>
    <xf numFmtId="14" fontId="0" fillId="0" borderId="5" applyAlignment="1" pivotButton="0" quotePrefix="0" xfId="0">
      <alignment horizontal="center"/>
    </xf>
    <xf numFmtId="0" fontId="5" fillId="10" borderId="13" applyAlignment="1" pivotButton="0" quotePrefix="0" xfId="0">
      <alignment horizontal="center"/>
    </xf>
    <xf numFmtId="0" fontId="0" fillId="0" borderId="14" pivotButton="0" quotePrefix="0" xfId="0"/>
    <xf numFmtId="0" fontId="0" fillId="11" borderId="14" pivotButton="0" quotePrefix="0" xfId="0"/>
    <xf numFmtId="0" fontId="3" fillId="11" borderId="4" pivotButton="0" quotePrefix="0" xfId="0"/>
    <xf numFmtId="0" fontId="2" fillId="0" borderId="15" applyAlignment="1" pivotButton="0" quotePrefix="0" xfId="0">
      <alignment vertical="center" wrapText="1"/>
    </xf>
    <xf numFmtId="0" fontId="5" fillId="10" borderId="16" applyAlignment="1" pivotButton="0" quotePrefix="0" xfId="0">
      <alignment horizontal="center"/>
    </xf>
    <xf numFmtId="164" fontId="7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externalLink" Target="/xl/externalLinks/externalLink1.xml" Id="rId30"/><Relationship Type="http://schemas.openxmlformats.org/officeDocument/2006/relationships/externalLink" Target="/xl/externalLinks/externalLink2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Amin/Downloads/Telegram%20Desktop/&#1043;&#1048;&#1056;&#1040;_100(2)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&#1043;&#1048;&#1056;&#1040;_1006&#1090;&#1077;&#1082;&#1082;&#1072;&#1072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. ГИРА"/>
      <sheetName val="К123,40"/>
      <sheetName val="К102,60"/>
      <sheetName val="К45,20"/>
      <sheetName val="К43,30"/>
      <sheetName val="К36,00"/>
      <sheetName val="К28,35"/>
      <sheetName val="К23"/>
      <sheetName val="Реестр"/>
      <sheetName val="Аренда"/>
    </sheetNames>
    <sheetDataSet>
      <sheetData sheetId="0">
        <row r="4">
          <cell r="G4">
            <v>6</v>
          </cell>
          <cell r="J4">
            <v>6</v>
          </cell>
          <cell r="M4">
            <v>6</v>
          </cell>
          <cell r="P4">
            <v>0</v>
          </cell>
          <cell r="S4" t="e">
            <v>#DIV/0!</v>
          </cell>
          <cell r="V4" t="e">
            <v>#DIV/0!</v>
          </cell>
          <cell r="Y4" t="e">
            <v>#DIV/0!</v>
          </cell>
          <cell r="AB4" t="e">
            <v>#DIV/0!</v>
          </cell>
          <cell r="AE4" t="e">
            <v>#DIV/0!</v>
          </cell>
          <cell r="AH4" t="e">
            <v>#DIV/0!</v>
          </cell>
          <cell r="AK4" t="e">
            <v>#DIV/0!</v>
          </cell>
          <cell r="AN4" t="e">
            <v>#DIV/0!</v>
          </cell>
          <cell r="AQ4" t="e">
            <v>#DIV/0!</v>
          </cell>
          <cell r="AT4" t="e">
            <v>#DIV/0!</v>
          </cell>
          <cell r="AW4" t="e">
            <v>#DIV/0!</v>
          </cell>
          <cell r="AZ4" t="e">
            <v>#DIV/0!</v>
          </cell>
          <cell r="BC4" t="e">
            <v>#DIV/0!</v>
          </cell>
          <cell r="BF4" t="e">
            <v>#DIV/0!</v>
          </cell>
          <cell r="BI4" t="e">
            <v>#DIV/0!</v>
          </cell>
          <cell r="BL4" t="e">
            <v>#DIV/0!</v>
          </cell>
          <cell r="BO4" t="e">
            <v>#DIV/0!</v>
          </cell>
          <cell r="BR4" t="e">
            <v>#DIV/0!</v>
          </cell>
          <cell r="BU4" t="e">
            <v>#DIV/0!</v>
          </cell>
          <cell r="BX4" t="e">
            <v>#DIV/0!</v>
          </cell>
          <cell r="CA4" t="e">
            <v>#DIV/0!</v>
          </cell>
        </row>
        <row r="6">
          <cell r="G6">
            <v>60</v>
          </cell>
          <cell r="J6">
            <v>60</v>
          </cell>
          <cell r="M6">
            <v>60</v>
          </cell>
          <cell r="P6">
            <v>0</v>
          </cell>
          <cell r="S6" t="e">
            <v>#DIV/0!</v>
          </cell>
          <cell r="V6" t="e">
            <v>#DIV/0!</v>
          </cell>
          <cell r="Y6" t="e">
            <v>#DIV/0!</v>
          </cell>
          <cell r="AB6" t="e">
            <v>#DIV/0!</v>
          </cell>
          <cell r="AE6" t="e">
            <v>#DIV/0!</v>
          </cell>
          <cell r="AH6" t="e">
            <v>#DIV/0!</v>
          </cell>
          <cell r="AK6" t="e">
            <v>#DIV/0!</v>
          </cell>
          <cell r="AN6" t="e">
            <v>#DIV/0!</v>
          </cell>
          <cell r="AQ6" t="e">
            <v>#DIV/0!</v>
          </cell>
          <cell r="AT6" t="e">
            <v>#DIV/0!</v>
          </cell>
          <cell r="AW6" t="e">
            <v>#DIV/0!</v>
          </cell>
          <cell r="AZ6" t="e">
            <v>#DIV/0!</v>
          </cell>
          <cell r="BC6" t="e">
            <v>#DIV/0!</v>
          </cell>
          <cell r="BF6" t="e">
            <v>#DIV/0!</v>
          </cell>
          <cell r="BI6" t="e">
            <v>#DIV/0!</v>
          </cell>
          <cell r="BL6" t="e">
            <v>#DIV/0!</v>
          </cell>
          <cell r="BO6" t="e">
            <v>#DIV/0!</v>
          </cell>
          <cell r="BR6" t="e">
            <v>#DIV/0!</v>
          </cell>
          <cell r="BU6" t="e">
            <v>#DIV/0!</v>
          </cell>
          <cell r="BX6" t="e">
            <v>#DIV/0!</v>
          </cell>
          <cell r="CA6" t="e">
            <v>#DIV/0!</v>
          </cell>
        </row>
        <row r="8">
          <cell r="G8">
            <v>300</v>
          </cell>
          <cell r="J8">
            <v>300</v>
          </cell>
          <cell r="M8">
            <v>300</v>
          </cell>
          <cell r="P8">
            <v>0</v>
          </cell>
          <cell r="S8" t="e">
            <v>#DIV/0!</v>
          </cell>
          <cell r="V8" t="e">
            <v>#DIV/0!</v>
          </cell>
          <cell r="Y8" t="e">
            <v>#DIV/0!</v>
          </cell>
          <cell r="AB8" t="e">
            <v>#DIV/0!</v>
          </cell>
          <cell r="AE8" t="e">
            <v>#DIV/0!</v>
          </cell>
          <cell r="AH8" t="e">
            <v>#DIV/0!</v>
          </cell>
          <cell r="AK8" t="e">
            <v>#DIV/0!</v>
          </cell>
          <cell r="AN8" t="e">
            <v>#DIV/0!</v>
          </cell>
          <cell r="AQ8" t="e">
            <v>#DIV/0!</v>
          </cell>
          <cell r="AT8" t="e">
            <v>#DIV/0!</v>
          </cell>
          <cell r="AW8" t="e">
            <v>#DIV/0!</v>
          </cell>
          <cell r="AZ8" t="e">
            <v>#DIV/0!</v>
          </cell>
          <cell r="BC8" t="e">
            <v>#DIV/0!</v>
          </cell>
          <cell r="BF8" t="e">
            <v>#DIV/0!</v>
          </cell>
          <cell r="BI8" t="e">
            <v>#DIV/0!</v>
          </cell>
          <cell r="BL8" t="e">
            <v>#DIV/0!</v>
          </cell>
          <cell r="BO8" t="e">
            <v>#DIV/0!</v>
          </cell>
          <cell r="BR8" t="e">
            <v>#DIV/0!</v>
          </cell>
          <cell r="BU8" t="e">
            <v>#DIV/0!</v>
          </cell>
          <cell r="BX8" t="e">
            <v>#DIV/0!</v>
          </cell>
          <cell r="CA8" t="e">
            <v>#DIV/0!</v>
          </cell>
        </row>
        <row r="10">
          <cell r="G10">
            <v>179.50559031695562</v>
          </cell>
          <cell r="J10">
            <v>215.40670838034677</v>
          </cell>
          <cell r="M10">
            <v>179.50559031695562</v>
          </cell>
          <cell r="P10">
            <v>0</v>
          </cell>
          <cell r="S10">
            <v>0</v>
          </cell>
          <cell r="V10">
            <v>0</v>
          </cell>
          <cell r="Y10">
            <v>0</v>
          </cell>
          <cell r="AB10">
            <v>0</v>
          </cell>
          <cell r="AE10">
            <v>0</v>
          </cell>
          <cell r="AH10">
            <v>0</v>
          </cell>
          <cell r="AK10">
            <v>0</v>
          </cell>
          <cell r="AN10">
            <v>0</v>
          </cell>
          <cell r="AQ10">
            <v>0</v>
          </cell>
          <cell r="AT10">
            <v>0</v>
          </cell>
          <cell r="AW10">
            <v>0</v>
          </cell>
          <cell r="AZ10">
            <v>0</v>
          </cell>
          <cell r="BC10">
            <v>0</v>
          </cell>
          <cell r="BF10">
            <v>0</v>
          </cell>
          <cell r="BI10">
            <v>0</v>
          </cell>
          <cell r="BL10">
            <v>0</v>
          </cell>
          <cell r="BO10">
            <v>0</v>
          </cell>
          <cell r="BR10">
            <v>0</v>
          </cell>
          <cell r="BU10">
            <v>4.3081341676069349E-2</v>
          </cell>
          <cell r="BX10">
            <v>4.5132834136834561E-2</v>
          </cell>
          <cell r="CA10">
            <v>4.7184326597599767E-2</v>
          </cell>
        </row>
        <row r="12">
          <cell r="G12">
            <v>174.37685916504262</v>
          </cell>
          <cell r="J12">
            <v>174.37685916504262</v>
          </cell>
          <cell r="M12">
            <v>164.11939686121659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  <cell r="AQ12">
            <v>0</v>
          </cell>
          <cell r="AT12">
            <v>0</v>
          </cell>
          <cell r="AW12">
            <v>0</v>
          </cell>
          <cell r="AZ12">
            <v>0</v>
          </cell>
          <cell r="BC12">
            <v>0</v>
          </cell>
          <cell r="BF12">
            <v>0</v>
          </cell>
          <cell r="BI12">
            <v>0</v>
          </cell>
          <cell r="BL12">
            <v>0</v>
          </cell>
          <cell r="BO12">
            <v>0</v>
          </cell>
          <cell r="BR12">
            <v>0</v>
          </cell>
          <cell r="BU12">
            <v>4.3081341676069349E-2</v>
          </cell>
          <cell r="BX12">
            <v>4.5132834136834561E-2</v>
          </cell>
          <cell r="CA12">
            <v>4.7184326597599767E-2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>
            <v>444</v>
          </cell>
          <cell r="M2" t="str">
            <v xml:space="preserve">Альфия    </v>
          </cell>
          <cell r="N2">
            <v>89503228511</v>
          </cell>
          <cell r="O2" t="str">
            <v>Карина</v>
          </cell>
          <cell r="P2">
            <v>89372840305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. ГИРА"/>
      <sheetName val="К123,40"/>
      <sheetName val="К102,60"/>
      <sheetName val="К45,20"/>
      <sheetName val="К43,30"/>
      <sheetName val="К36,00"/>
      <sheetName val="К28,35"/>
      <sheetName val="К23"/>
      <sheetName val="Реестр"/>
      <sheetName val="Аренда"/>
      <sheetName val="ЛИСТШАБЛО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1006:3090</v>
          </cell>
          <cell r="F2" t="str">
            <v>Гареева А.В.</v>
          </cell>
          <cell r="H2">
            <v>123.4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6"/>
  <sheetViews>
    <sheetView zoomScale="150" zoomScaleNormal="98" workbookViewId="0">
      <pane xSplit="3" ySplit="16" topLeftCell="N17" activePane="bottomRight" state="frozen"/>
      <selection pane="topRight" activeCell="D1" sqref="D1"/>
      <selection pane="bottomLeft" activeCell="A16" sqref="A16"/>
      <selection pane="bottomRight" activeCell="P6" sqref="P6"/>
    </sheetView>
  </sheetViews>
  <sheetFormatPr baseColWidth="8" defaultColWidth="10" defaultRowHeight="15"/>
  <cols>
    <col width="12" customWidth="1" min="1" max="1"/>
    <col width="11" customWidth="1" min="2" max="2"/>
    <col width="24.28515625" bestFit="1" customWidth="1" style="1" min="3" max="3"/>
    <col width="9.28515625" bestFit="1" customWidth="1" min="4" max="4"/>
    <col width="7.28515625" bestFit="1" customWidth="1" min="5" max="5"/>
    <col width="9.85546875" bestFit="1" customWidth="1" style="1" min="6" max="6"/>
    <col width="10" bestFit="1" customWidth="1" style="1" min="7" max="7"/>
    <col width="11.28515625" customWidth="1" min="8" max="8"/>
    <col width="20.85546875" customWidth="1" style="1" min="9" max="9"/>
    <col width="10" bestFit="1" customWidth="1" style="1" min="10" max="10"/>
    <col width="10.85546875" customWidth="1" min="11" max="11"/>
    <col width="9.85546875" bestFit="1" customWidth="1" style="1" min="12" max="12"/>
    <col width="13.5703125" customWidth="1" style="1" min="13" max="13"/>
    <col width="7.140625" bestFit="1" customWidth="1" min="14" max="14"/>
    <col width="9.85546875" bestFit="1" customWidth="1" style="1" min="15" max="15"/>
    <col width="8.42578125" bestFit="1" customWidth="1" style="1" min="16" max="16"/>
    <col width="7.42578125" bestFit="1" customWidth="1" min="17" max="17"/>
    <col width="9.85546875" bestFit="1" customWidth="1" style="1" min="18" max="18"/>
    <col width="8.42578125" bestFit="1" customWidth="1" style="1" min="19" max="19"/>
    <col width="7" bestFit="1" customWidth="1" min="20" max="20"/>
    <col width="9.85546875" bestFit="1" customWidth="1" style="1" min="21" max="21"/>
    <col width="8.42578125" bestFit="1" customWidth="1" style="1" min="22" max="22"/>
    <col width="14.42578125" customWidth="1" min="23" max="23"/>
    <col width="9.85546875" bestFit="1" customWidth="1" style="1" min="24" max="24"/>
    <col width="8.42578125" bestFit="1" customWidth="1" style="1" min="25" max="25"/>
    <col width="12.42578125" customWidth="1" min="26" max="26"/>
    <col width="9.85546875" bestFit="1" customWidth="1" style="1" min="27" max="27"/>
    <col width="8.42578125" bestFit="1" customWidth="1" style="1" min="28" max="28"/>
    <col width="6.42578125" bestFit="1" customWidth="1" min="29" max="29"/>
    <col width="9.85546875" bestFit="1" customWidth="1" style="1" min="30" max="30"/>
    <col width="8.42578125" bestFit="1" customWidth="1" style="1" min="31" max="31"/>
    <col width="6.85546875" bestFit="1" customWidth="1" min="32" max="32"/>
    <col width="9.85546875" bestFit="1" customWidth="1" style="1" min="33" max="33"/>
    <col width="8.42578125" bestFit="1" customWidth="1" style="1" min="34" max="34"/>
    <col width="6.85546875" bestFit="1" customWidth="1" min="35" max="35"/>
    <col width="9.85546875" bestFit="1" customWidth="1" style="1" min="36" max="36"/>
    <col width="8.42578125" bestFit="1" customWidth="1" style="1" min="37" max="37"/>
    <col width="7" bestFit="1" customWidth="1" min="38" max="38"/>
    <col width="9.85546875" bestFit="1" customWidth="1" style="1" min="39" max="39"/>
    <col width="8.42578125" bestFit="1" customWidth="1" style="1" min="40" max="40"/>
    <col width="7.85546875" bestFit="1" customWidth="1" min="41" max="41"/>
    <col width="9.85546875" bestFit="1" customWidth="1" style="1" min="42" max="42"/>
    <col width="8.42578125" bestFit="1" customWidth="1" style="1" min="43" max="43"/>
    <col width="6.28515625" bestFit="1" customWidth="1" style="1" min="44" max="44"/>
    <col width="9.85546875" bestFit="1" customWidth="1" style="1" min="45" max="45"/>
    <col width="8.42578125" bestFit="1" customWidth="1" min="46" max="46"/>
    <col width="7.85546875" bestFit="1" customWidth="1" min="47" max="47"/>
    <col width="9.85546875" bestFit="1" customWidth="1" min="48" max="48"/>
    <col width="8.42578125" bestFit="1" customWidth="1" min="49" max="49"/>
    <col width="6.85546875" bestFit="1" customWidth="1" min="50" max="50"/>
    <col width="9.85546875" bestFit="1" customWidth="1" min="51" max="51"/>
    <col width="8.42578125" bestFit="1" customWidth="1" min="52" max="52"/>
    <col width="6" bestFit="1" customWidth="1" min="53" max="53"/>
    <col width="9.85546875" bestFit="1" customWidth="1" min="54" max="54"/>
    <col width="8.42578125" bestFit="1" customWidth="1" min="55" max="55"/>
    <col width="7" bestFit="1" customWidth="1" min="56" max="56"/>
    <col width="9.85546875" bestFit="1" customWidth="1" min="57" max="57"/>
    <col width="8.42578125" bestFit="1" customWidth="1" min="58" max="58"/>
    <col width="7" bestFit="1" customWidth="1" min="59" max="59"/>
    <col width="9.85546875" bestFit="1" customWidth="1" min="60" max="60"/>
    <col width="8.42578125" bestFit="1" customWidth="1" min="61" max="61"/>
    <col width="6.28515625" bestFit="1" customWidth="1" min="62" max="62"/>
    <col width="9.85546875" bestFit="1" customWidth="1" min="63" max="63"/>
    <col width="8.42578125" bestFit="1" customWidth="1" min="64" max="64"/>
    <col width="6.140625" bestFit="1" customWidth="1" min="65" max="65"/>
    <col width="9.85546875" bestFit="1" customWidth="1" min="66" max="66"/>
    <col width="8.42578125" bestFit="1" customWidth="1" min="67" max="67"/>
    <col width="6.85546875" bestFit="1" customWidth="1" min="68" max="68"/>
    <col width="9.85546875" bestFit="1" customWidth="1" min="69" max="69"/>
    <col width="8.42578125" bestFit="1" customWidth="1" min="70" max="70"/>
    <col width="7.42578125" bestFit="1" customWidth="1" min="71" max="71"/>
    <col width="9.85546875" bestFit="1" customWidth="1" min="72" max="72"/>
    <col width="8.42578125" bestFit="1" customWidth="1" min="73" max="73"/>
    <col width="7" bestFit="1" customWidth="1" min="74" max="74"/>
    <col width="9.85546875" bestFit="1" customWidth="1" min="75" max="75"/>
    <col width="8.42578125" bestFit="1" customWidth="1" min="76" max="76"/>
    <col width="6.42578125" bestFit="1" customWidth="1" min="77" max="77"/>
    <col width="9.85546875" bestFit="1" customWidth="1" min="78" max="78"/>
    <col width="8.42578125" bestFit="1" customWidth="1" min="79" max="79"/>
  </cols>
  <sheetData>
    <row r="1">
      <c r="A1" s="45" t="inlineStr">
        <is>
          <t>Кадастр</t>
        </is>
      </c>
      <c r="B1" s="57" t="n">
        <v>1006</v>
      </c>
      <c r="C1" s="5" t="inlineStr">
        <is>
          <t>Месяц</t>
        </is>
      </c>
      <c r="D1" s="13" t="n">
        <v>45962</v>
      </c>
      <c r="E1" s="13" t="n">
        <v>45992</v>
      </c>
      <c r="F1" s="72" t="inlineStr">
        <is>
          <t>Потребл.</t>
        </is>
      </c>
      <c r="G1" s="73" t="n">
        <v>45962</v>
      </c>
      <c r="H1" s="13" t="n">
        <v>46023</v>
      </c>
      <c r="I1" s="72" t="inlineStr">
        <is>
          <t>Потребл.</t>
        </is>
      </c>
      <c r="J1" s="73" t="n">
        <v>45992</v>
      </c>
      <c r="K1" s="13" t="n">
        <v>46054</v>
      </c>
      <c r="L1" s="72" t="inlineStr">
        <is>
          <t>Потребл.</t>
        </is>
      </c>
      <c r="M1" s="73" t="n">
        <v>46023</v>
      </c>
      <c r="N1" s="13" t="n">
        <v>46082</v>
      </c>
      <c r="O1" s="72" t="inlineStr">
        <is>
          <t>Потребл.</t>
        </is>
      </c>
      <c r="P1" s="73" t="n">
        <v>46054</v>
      </c>
      <c r="Q1" s="13" t="n">
        <v>46113</v>
      </c>
      <c r="R1" s="72" t="inlineStr">
        <is>
          <t>Потребл.</t>
        </is>
      </c>
      <c r="S1" s="73" t="n">
        <v>46082</v>
      </c>
      <c r="T1" s="13" t="n">
        <v>46143</v>
      </c>
      <c r="U1" s="72" t="inlineStr">
        <is>
          <t>Потребл.</t>
        </is>
      </c>
      <c r="V1" s="73" t="n">
        <v>46113</v>
      </c>
      <c r="W1" s="13" t="n">
        <v>46174</v>
      </c>
      <c r="X1" s="72" t="inlineStr">
        <is>
          <t>Потребл.</t>
        </is>
      </c>
      <c r="Y1" s="73" t="n">
        <v>46143</v>
      </c>
      <c r="Z1" s="13" t="n">
        <v>46204</v>
      </c>
      <c r="AA1" s="72" t="inlineStr">
        <is>
          <t>Потребл.</t>
        </is>
      </c>
      <c r="AB1" s="73" t="n">
        <v>46174</v>
      </c>
      <c r="AC1" s="13" t="n">
        <v>46235</v>
      </c>
      <c r="AD1" s="72" t="inlineStr">
        <is>
          <t>Потребл.</t>
        </is>
      </c>
      <c r="AE1" s="73" t="n">
        <v>46204</v>
      </c>
      <c r="AF1" s="13" t="n">
        <v>46266</v>
      </c>
      <c r="AG1" s="72" t="inlineStr">
        <is>
          <t>Потребл.</t>
        </is>
      </c>
      <c r="AH1" s="73" t="n">
        <v>46235</v>
      </c>
      <c r="AI1" s="13" t="n">
        <v>46296</v>
      </c>
      <c r="AJ1" s="72" t="inlineStr">
        <is>
          <t>Потребл.</t>
        </is>
      </c>
      <c r="AK1" s="73" t="n">
        <v>46266</v>
      </c>
      <c r="AL1" s="13" t="n">
        <v>46327</v>
      </c>
      <c r="AM1" s="72" t="inlineStr">
        <is>
          <t>Потребл.</t>
        </is>
      </c>
      <c r="AN1" s="73" t="n">
        <v>46296</v>
      </c>
      <c r="AO1" s="13" t="n">
        <v>46357</v>
      </c>
      <c r="AP1" s="72" t="inlineStr">
        <is>
          <t>Потребл.</t>
        </is>
      </c>
      <c r="AQ1" s="73" t="n">
        <v>46327</v>
      </c>
      <c r="AR1" s="13" t="n">
        <v>46388</v>
      </c>
      <c r="AS1" s="72" t="inlineStr">
        <is>
          <t>Потребл.</t>
        </is>
      </c>
      <c r="AT1" s="73" t="n">
        <v>46357</v>
      </c>
      <c r="AU1" s="13" t="n">
        <v>46419</v>
      </c>
      <c r="AV1" s="72" t="inlineStr">
        <is>
          <t>Потребл.</t>
        </is>
      </c>
      <c r="AW1" s="73" t="n">
        <v>46388</v>
      </c>
      <c r="AX1" s="13" t="n">
        <v>46447</v>
      </c>
      <c r="AY1" s="72" t="inlineStr">
        <is>
          <t>Потребл.</t>
        </is>
      </c>
      <c r="AZ1" s="73" t="n">
        <v>46419</v>
      </c>
      <c r="BA1" s="13" t="n">
        <v>46478</v>
      </c>
      <c r="BB1" s="72" t="inlineStr">
        <is>
          <t>Потребл.</t>
        </is>
      </c>
      <c r="BC1" s="73" t="n">
        <v>46447</v>
      </c>
      <c r="BD1" s="13" t="n">
        <v>46508</v>
      </c>
      <c r="BE1" s="72" t="inlineStr">
        <is>
          <t>Потребл.</t>
        </is>
      </c>
      <c r="BF1" s="73" t="n">
        <v>46478</v>
      </c>
      <c r="BG1" s="13" t="n">
        <v>46539</v>
      </c>
      <c r="BH1" s="72" t="inlineStr">
        <is>
          <t>Потребл.</t>
        </is>
      </c>
      <c r="BI1" s="73" t="n">
        <v>46508</v>
      </c>
      <c r="BJ1" s="13" t="n">
        <v>46569</v>
      </c>
      <c r="BK1" s="72" t="inlineStr">
        <is>
          <t>Потребл.</t>
        </is>
      </c>
      <c r="BL1" s="73" t="n">
        <v>46539</v>
      </c>
      <c r="BM1" s="13" t="n">
        <v>46600</v>
      </c>
      <c r="BN1" s="72" t="inlineStr">
        <is>
          <t>Потребл.</t>
        </is>
      </c>
      <c r="BO1" s="73" t="n">
        <v>46569</v>
      </c>
      <c r="BP1" s="13" t="n">
        <v>46631</v>
      </c>
      <c r="BQ1" s="72" t="inlineStr">
        <is>
          <t>Потребл.</t>
        </is>
      </c>
      <c r="BR1" s="73" t="n">
        <v>46600</v>
      </c>
      <c r="BS1" s="13" t="n">
        <v>46661</v>
      </c>
      <c r="BT1" s="72" t="inlineStr">
        <is>
          <t>Потребл.</t>
        </is>
      </c>
      <c r="BU1" s="73" t="n">
        <v>46631</v>
      </c>
      <c r="BV1" s="13" t="n">
        <v>46692</v>
      </c>
      <c r="BW1" s="72" t="inlineStr">
        <is>
          <t>Потребл.</t>
        </is>
      </c>
      <c r="BX1" s="73" t="n">
        <v>46661</v>
      </c>
      <c r="BY1" s="13" t="n">
        <v>46722</v>
      </c>
      <c r="BZ1" s="72" t="inlineStr">
        <is>
          <t>Потребл.</t>
        </is>
      </c>
      <c r="CA1" s="73" t="n">
        <v>46692</v>
      </c>
    </row>
    <row r="2" customFormat="1" s="3">
      <c r="A2" s="45" t="inlineStr">
        <is>
          <t>Потребитель</t>
        </is>
      </c>
      <c r="B2" s="46" t="inlineStr">
        <is>
          <t>ГИРА</t>
        </is>
      </c>
      <c r="C2" s="29" t="n"/>
      <c r="D2" s="27" t="inlineStr">
        <is>
          <t>знач.</t>
        </is>
      </c>
      <c r="E2" s="4" t="inlineStr">
        <is>
          <t>знач.</t>
        </is>
      </c>
      <c r="F2" s="4" t="inlineStr">
        <is>
          <t>знач.</t>
        </is>
      </c>
      <c r="G2" s="4" t="inlineStr">
        <is>
          <t>руб.</t>
        </is>
      </c>
      <c r="H2" s="4" t="inlineStr">
        <is>
          <t>знач.</t>
        </is>
      </c>
      <c r="I2" s="4" t="inlineStr">
        <is>
          <t>знач.</t>
        </is>
      </c>
      <c r="J2" s="4" t="inlineStr">
        <is>
          <t>руб.</t>
        </is>
      </c>
      <c r="K2" s="4" t="inlineStr">
        <is>
          <t>знач.</t>
        </is>
      </c>
      <c r="L2" s="4" t="inlineStr">
        <is>
          <t>знач.</t>
        </is>
      </c>
      <c r="M2" s="4" t="inlineStr">
        <is>
          <t>руб.</t>
        </is>
      </c>
      <c r="N2" s="4" t="inlineStr">
        <is>
          <t>знач.</t>
        </is>
      </c>
      <c r="O2" s="4" t="inlineStr">
        <is>
          <t>знач.</t>
        </is>
      </c>
      <c r="P2" s="4" t="inlineStr">
        <is>
          <t>руб.</t>
        </is>
      </c>
      <c r="Q2" s="4" t="inlineStr">
        <is>
          <t>знач.</t>
        </is>
      </c>
      <c r="R2" s="4" t="inlineStr">
        <is>
          <t>знач.</t>
        </is>
      </c>
      <c r="S2" s="4" t="inlineStr">
        <is>
          <t>руб.</t>
        </is>
      </c>
      <c r="T2" s="4" t="inlineStr">
        <is>
          <t>знач.</t>
        </is>
      </c>
      <c r="U2" s="4" t="inlineStr">
        <is>
          <t>знач.</t>
        </is>
      </c>
      <c r="V2" s="4" t="inlineStr">
        <is>
          <t>руб.</t>
        </is>
      </c>
      <c r="W2" s="4" t="inlineStr">
        <is>
          <t>знач.</t>
        </is>
      </c>
      <c r="X2" s="4" t="inlineStr">
        <is>
          <t>знач.</t>
        </is>
      </c>
      <c r="Y2" s="4" t="inlineStr">
        <is>
          <t>руб.</t>
        </is>
      </c>
      <c r="Z2" s="4" t="inlineStr">
        <is>
          <t>знач.</t>
        </is>
      </c>
      <c r="AA2" s="4" t="inlineStr">
        <is>
          <t>знач.</t>
        </is>
      </c>
      <c r="AB2" s="4" t="inlineStr">
        <is>
          <t>руб.</t>
        </is>
      </c>
      <c r="AC2" s="4" t="inlineStr">
        <is>
          <t>знач.</t>
        </is>
      </c>
      <c r="AD2" s="4" t="inlineStr">
        <is>
          <t>знач.</t>
        </is>
      </c>
      <c r="AE2" s="4" t="inlineStr">
        <is>
          <t>руб.</t>
        </is>
      </c>
      <c r="AF2" s="4" t="inlineStr">
        <is>
          <t>знач.</t>
        </is>
      </c>
      <c r="AG2" s="4" t="inlineStr">
        <is>
          <t>знач.</t>
        </is>
      </c>
      <c r="AH2" s="4" t="inlineStr">
        <is>
          <t>руб.</t>
        </is>
      </c>
      <c r="AI2" s="4" t="inlineStr">
        <is>
          <t>знач.</t>
        </is>
      </c>
      <c r="AJ2" s="4" t="inlineStr">
        <is>
          <t>знач.</t>
        </is>
      </c>
      <c r="AK2" s="4" t="inlineStr">
        <is>
          <t>руб.</t>
        </is>
      </c>
      <c r="AL2" s="4" t="inlineStr">
        <is>
          <t>знач.</t>
        </is>
      </c>
      <c r="AM2" s="4" t="inlineStr">
        <is>
          <t>знач.</t>
        </is>
      </c>
      <c r="AN2" s="4" t="inlineStr">
        <is>
          <t>руб.</t>
        </is>
      </c>
      <c r="AO2" s="4" t="inlineStr">
        <is>
          <t>знач.</t>
        </is>
      </c>
      <c r="AP2" s="4" t="inlineStr">
        <is>
          <t>знач.</t>
        </is>
      </c>
      <c r="AQ2" s="4" t="inlineStr">
        <is>
          <t>руб.</t>
        </is>
      </c>
      <c r="AR2" s="4" t="inlineStr">
        <is>
          <t>знач.</t>
        </is>
      </c>
      <c r="AS2" s="4" t="inlineStr">
        <is>
          <t>знач.</t>
        </is>
      </c>
      <c r="AT2" s="4" t="inlineStr">
        <is>
          <t>руб.</t>
        </is>
      </c>
      <c r="AU2" s="4" t="inlineStr">
        <is>
          <t>знач.</t>
        </is>
      </c>
      <c r="AV2" s="4" t="inlineStr">
        <is>
          <t>знач.</t>
        </is>
      </c>
      <c r="AW2" s="4" t="inlineStr">
        <is>
          <t>руб.</t>
        </is>
      </c>
      <c r="AX2" s="4" t="inlineStr">
        <is>
          <t>знач.</t>
        </is>
      </c>
      <c r="AY2" s="4" t="inlineStr">
        <is>
          <t>знач.</t>
        </is>
      </c>
      <c r="AZ2" s="4" t="inlineStr">
        <is>
          <t>руб.</t>
        </is>
      </c>
      <c r="BA2" s="4" t="inlineStr">
        <is>
          <t>знач.</t>
        </is>
      </c>
      <c r="BB2" s="4" t="inlineStr">
        <is>
          <t>знач.</t>
        </is>
      </c>
      <c r="BC2" s="4" t="inlineStr">
        <is>
          <t>руб.</t>
        </is>
      </c>
      <c r="BD2" s="4" t="inlineStr">
        <is>
          <t>знач.</t>
        </is>
      </c>
      <c r="BE2" s="4" t="inlineStr">
        <is>
          <t>знач.</t>
        </is>
      </c>
      <c r="BF2" s="4" t="inlineStr">
        <is>
          <t>руб.</t>
        </is>
      </c>
      <c r="BG2" s="4" t="inlineStr">
        <is>
          <t>знач.</t>
        </is>
      </c>
      <c r="BH2" s="4" t="inlineStr">
        <is>
          <t>знач.</t>
        </is>
      </c>
      <c r="BI2" s="4" t="inlineStr">
        <is>
          <t>руб.</t>
        </is>
      </c>
      <c r="BJ2" s="4" t="inlineStr">
        <is>
          <t>знач.</t>
        </is>
      </c>
      <c r="BK2" s="4" t="inlineStr">
        <is>
          <t>знач.</t>
        </is>
      </c>
      <c r="BL2" s="4" t="inlineStr">
        <is>
          <t>руб.</t>
        </is>
      </c>
      <c r="BM2" s="4" t="inlineStr">
        <is>
          <t>знач.</t>
        </is>
      </c>
      <c r="BN2" s="4" t="inlineStr">
        <is>
          <t>знач.</t>
        </is>
      </c>
      <c r="BO2" s="4" t="inlineStr">
        <is>
          <t>руб.</t>
        </is>
      </c>
      <c r="BP2" s="4" t="inlineStr">
        <is>
          <t>знач.</t>
        </is>
      </c>
      <c r="BQ2" s="4" t="inlineStr">
        <is>
          <t>знач.</t>
        </is>
      </c>
      <c r="BR2" s="4" t="inlineStr">
        <is>
          <t>руб.</t>
        </is>
      </c>
      <c r="BS2" s="4" t="inlineStr">
        <is>
          <t>знач.</t>
        </is>
      </c>
      <c r="BT2" s="4" t="inlineStr">
        <is>
          <t>знач.</t>
        </is>
      </c>
      <c r="BU2" s="4" t="inlineStr">
        <is>
          <t>руб.</t>
        </is>
      </c>
      <c r="BV2" s="4" t="inlineStr">
        <is>
          <t>знач.</t>
        </is>
      </c>
      <c r="BW2" s="4" t="inlineStr">
        <is>
          <t>знач.</t>
        </is>
      </c>
      <c r="BX2" s="4" t="inlineStr">
        <is>
          <t>руб.</t>
        </is>
      </c>
      <c r="BY2" s="4" t="inlineStr">
        <is>
          <t>знач.</t>
        </is>
      </c>
      <c r="BZ2" s="4" t="inlineStr">
        <is>
          <t>знач.</t>
        </is>
      </c>
      <c r="CA2" s="4" t="inlineStr">
        <is>
          <t>руб.</t>
        </is>
      </c>
    </row>
    <row r="3" ht="15" customHeight="1">
      <c r="A3" s="45" t="inlineStr">
        <is>
          <t>Площадь</t>
        </is>
      </c>
      <c r="B3" s="46" t="n">
        <v>487.4499999999999</v>
      </c>
      <c r="C3" s="30" t="inlineStr">
        <is>
          <t>Электричество</t>
        </is>
      </c>
      <c r="D3" s="59" t="n">
        <v>115000</v>
      </c>
      <c r="E3" s="60" t="n">
        <v>120000</v>
      </c>
      <c r="F3" s="6" t="n">
        <v>222222</v>
      </c>
      <c r="G3" s="12" t="n">
        <v>10000</v>
      </c>
      <c r="H3" s="59" t="n">
        <v>222222</v>
      </c>
      <c r="I3" s="6">
        <f>H3-E3</f>
        <v/>
      </c>
      <c r="J3" s="12" t="n">
        <v>20000</v>
      </c>
      <c r="K3" s="59" t="n">
        <v>350</v>
      </c>
      <c r="L3" s="6">
        <f>K3-H3</f>
        <v/>
      </c>
      <c r="M3" s="12" t="n">
        <v>10000</v>
      </c>
      <c r="N3" s="60" t="n">
        <v>245</v>
      </c>
      <c r="O3" s="6">
        <f>N3-K3</f>
        <v/>
      </c>
      <c r="P3" s="12" t="n">
        <v>21</v>
      </c>
      <c r="Q3" s="60" t="n"/>
      <c r="R3" s="6">
        <f>Q3-N3</f>
        <v/>
      </c>
      <c r="S3" s="12" t="n"/>
      <c r="T3" s="60" t="n"/>
      <c r="U3" s="6">
        <f>T3-Q3</f>
        <v/>
      </c>
      <c r="V3" s="12" t="n"/>
      <c r="W3" s="60" t="n"/>
      <c r="X3" s="6">
        <f>W3-T3</f>
        <v/>
      </c>
      <c r="Y3" s="12" t="n"/>
      <c r="Z3" s="60" t="n"/>
      <c r="AA3" s="6">
        <f>Z3-W3</f>
        <v/>
      </c>
      <c r="AB3" s="12" t="n"/>
      <c r="AC3" s="60" t="n"/>
      <c r="AD3" s="6">
        <f>AC3-Z3</f>
        <v/>
      </c>
      <c r="AE3" s="12" t="n"/>
      <c r="AF3" s="60" t="n"/>
      <c r="AG3" s="6">
        <f>AF3-AC3</f>
        <v/>
      </c>
      <c r="AH3" s="12" t="n"/>
      <c r="AI3" s="60" t="n"/>
      <c r="AJ3" s="6">
        <f>AI3-AF3</f>
        <v/>
      </c>
      <c r="AK3" s="12" t="n"/>
      <c r="AL3" s="60" t="n"/>
      <c r="AM3" s="6">
        <f>AL3-AI3</f>
        <v/>
      </c>
      <c r="AN3" s="12" t="n"/>
      <c r="AO3" s="60" t="n"/>
      <c r="AP3" s="6">
        <f>AO3-AL3</f>
        <v/>
      </c>
      <c r="AQ3" s="12" t="n"/>
      <c r="AR3" s="60" t="n"/>
      <c r="AS3" s="6">
        <f>AR3-AO3</f>
        <v/>
      </c>
      <c r="AT3" s="12" t="n"/>
      <c r="AU3" s="60" t="n"/>
      <c r="AV3" s="6">
        <f>AU3-AR3</f>
        <v/>
      </c>
      <c r="AW3" s="12" t="n"/>
      <c r="AX3" s="60" t="n"/>
      <c r="AY3" s="6">
        <f>AX3-AU3</f>
        <v/>
      </c>
      <c r="AZ3" s="12" t="n"/>
      <c r="BA3" s="60" t="n"/>
      <c r="BB3" s="6">
        <f>BA3-AX3</f>
        <v/>
      </c>
      <c r="BC3" s="12" t="n"/>
      <c r="BD3" s="60" t="n"/>
      <c r="BE3" s="6">
        <f>BD3-BA3</f>
        <v/>
      </c>
      <c r="BF3" s="12" t="n"/>
      <c r="BG3" s="60" t="n"/>
      <c r="BH3" s="6">
        <f>BG3-BD3</f>
        <v/>
      </c>
      <c r="BI3" s="12" t="n"/>
      <c r="BJ3" s="60" t="n"/>
      <c r="BK3" s="6">
        <f>BJ3-BG3</f>
        <v/>
      </c>
      <c r="BL3" s="12" t="n"/>
      <c r="BM3" s="60" t="n"/>
      <c r="BN3" s="6">
        <f>BM3-BJ3</f>
        <v/>
      </c>
      <c r="BO3" s="12" t="n"/>
      <c r="BP3" s="60" t="n"/>
      <c r="BQ3" s="6">
        <f>BP3-BM3</f>
        <v/>
      </c>
      <c r="BR3" s="12" t="n"/>
      <c r="BS3" s="60" t="n"/>
      <c r="BT3" s="6">
        <f>BS3-BP3</f>
        <v/>
      </c>
      <c r="BU3" s="12" t="n"/>
      <c r="BV3" s="60" t="n"/>
      <c r="BW3" s="6">
        <f>BV3-BS3</f>
        <v/>
      </c>
      <c r="BX3" s="12" t="n"/>
      <c r="BY3" s="60" t="n"/>
      <c r="BZ3" s="6">
        <f>BY3-BV3</f>
        <v/>
      </c>
      <c r="CA3" s="12" t="n"/>
    </row>
    <row r="4" ht="15" customHeight="1">
      <c r="A4" s="44" t="inlineStr">
        <is>
          <t>ИНН</t>
        </is>
      </c>
      <c r="B4" s="58" t="n"/>
      <c r="C4" s="30" t="inlineStr">
        <is>
          <t>Электричество тариф</t>
        </is>
      </c>
      <c r="D4" s="61" t="n"/>
      <c r="E4" s="62" t="n"/>
      <c r="F4" s="72" t="n"/>
      <c r="G4" s="7">
        <f>G3/F3</f>
        <v/>
      </c>
      <c r="H4" s="62" t="n"/>
      <c r="I4" s="72" t="n"/>
      <c r="J4" s="7">
        <f>J3/I3</f>
        <v/>
      </c>
      <c r="K4" s="62" t="n"/>
      <c r="L4" s="72" t="n"/>
      <c r="M4" s="7">
        <f>M3/L3</f>
        <v/>
      </c>
      <c r="N4" s="62" t="n"/>
      <c r="O4" s="72" t="n"/>
      <c r="P4" s="7">
        <f>P3/O3</f>
        <v/>
      </c>
      <c r="Q4" s="62" t="n"/>
      <c r="R4" s="72" t="n"/>
      <c r="S4" s="7">
        <f>S3/R3</f>
        <v/>
      </c>
      <c r="T4" s="62" t="n"/>
      <c r="U4" s="72" t="n"/>
      <c r="V4" s="7">
        <f>V3/U3</f>
        <v/>
      </c>
      <c r="W4" s="62" t="n"/>
      <c r="X4" s="72" t="n"/>
      <c r="Y4" s="7">
        <f>Y3/X3</f>
        <v/>
      </c>
      <c r="Z4" s="62" t="n"/>
      <c r="AA4" s="72" t="n"/>
      <c r="AB4" s="7">
        <f>AB3/AA3</f>
        <v/>
      </c>
      <c r="AC4" s="62" t="n"/>
      <c r="AD4" s="72" t="n"/>
      <c r="AE4" s="7">
        <f>AE3/AD3</f>
        <v/>
      </c>
      <c r="AF4" s="62" t="n"/>
      <c r="AG4" s="72" t="n"/>
      <c r="AH4" s="7">
        <f>AH3/AG3</f>
        <v/>
      </c>
      <c r="AI4" s="62" t="n"/>
      <c r="AJ4" s="72" t="n"/>
      <c r="AK4" s="7">
        <f>AK3/AJ3</f>
        <v/>
      </c>
      <c r="AL4" s="62" t="n"/>
      <c r="AM4" s="72" t="n"/>
      <c r="AN4" s="7">
        <f>AN3/AM3</f>
        <v/>
      </c>
      <c r="AO4" s="62" t="n"/>
      <c r="AP4" s="72" t="n"/>
      <c r="AQ4" s="7">
        <f>AQ3/AP3</f>
        <v/>
      </c>
      <c r="AR4" s="62" t="n"/>
      <c r="AS4" s="72" t="n"/>
      <c r="AT4" s="7">
        <f>AT3/AS3</f>
        <v/>
      </c>
      <c r="AU4" s="62" t="n"/>
      <c r="AV4" s="72" t="n"/>
      <c r="AW4" s="7">
        <f>AW3/AV3</f>
        <v/>
      </c>
      <c r="AX4" s="62" t="n"/>
      <c r="AY4" s="72" t="n"/>
      <c r="AZ4" s="7">
        <f>AZ3/AY3</f>
        <v/>
      </c>
      <c r="BA4" s="62" t="n"/>
      <c r="BB4" s="72" t="n"/>
      <c r="BC4" s="7">
        <f>BC3/BB3</f>
        <v/>
      </c>
      <c r="BD4" s="62" t="n"/>
      <c r="BE4" s="72" t="n"/>
      <c r="BF4" s="7">
        <f>BF3/BE3</f>
        <v/>
      </c>
      <c r="BG4" s="62" t="n"/>
      <c r="BH4" s="72" t="n"/>
      <c r="BI4" s="7">
        <f>BI3/BH3</f>
        <v/>
      </c>
      <c r="BJ4" s="62" t="n"/>
      <c r="BK4" s="72" t="n"/>
      <c r="BL4" s="7">
        <f>BL3/BK3</f>
        <v/>
      </c>
      <c r="BM4" s="62" t="n"/>
      <c r="BN4" s="72" t="n"/>
      <c r="BO4" s="7">
        <f>BO3/BN3</f>
        <v/>
      </c>
      <c r="BP4" s="62" t="n"/>
      <c r="BQ4" s="72" t="n"/>
      <c r="BR4" s="7">
        <f>BR3/BQ3</f>
        <v/>
      </c>
      <c r="BS4" s="62" t="n"/>
      <c r="BT4" s="72" t="n"/>
      <c r="BU4" s="7">
        <f>BU3/BT3</f>
        <v/>
      </c>
      <c r="BV4" s="62" t="n"/>
      <c r="BW4" s="72" t="n"/>
      <c r="BX4" s="7">
        <f>BX3/BW3</f>
        <v/>
      </c>
      <c r="BY4" s="62" t="n"/>
      <c r="BZ4" s="72" t="n"/>
      <c r="CA4" s="7">
        <f>CA3/BZ3</f>
        <v/>
      </c>
    </row>
    <row r="5" ht="15" customHeight="1">
      <c r="A5" s="58" t="inlineStr">
        <is>
          <t>Кол-во помещ</t>
        </is>
      </c>
      <c r="B5" s="58" t="n">
        <v>7</v>
      </c>
      <c r="C5" s="81" t="inlineStr">
        <is>
          <t>Водоканал холодная вода</t>
        </is>
      </c>
      <c r="D5" s="59" t="n">
        <v>115000</v>
      </c>
      <c r="E5" s="60" t="n">
        <v>120000</v>
      </c>
      <c r="F5" s="6" t="n">
        <v>222222</v>
      </c>
      <c r="G5" s="6" t="n">
        <v>15000</v>
      </c>
      <c r="H5" s="59" t="n">
        <v>222222</v>
      </c>
      <c r="I5" s="6">
        <f>H5-E5</f>
        <v/>
      </c>
      <c r="J5" s="6" t="n">
        <v>15000</v>
      </c>
      <c r="K5" s="59" t="n">
        <v>17912</v>
      </c>
      <c r="L5" s="6">
        <f>K5-H5</f>
        <v/>
      </c>
      <c r="M5" s="6" t="n">
        <v>212</v>
      </c>
      <c r="N5" s="60" t="n"/>
      <c r="O5" s="6">
        <f>N5-K5</f>
        <v/>
      </c>
      <c r="P5" s="6" t="n"/>
      <c r="Q5" s="60" t="n"/>
      <c r="R5" s="6">
        <f>Q5-N5</f>
        <v/>
      </c>
      <c r="S5" s="6" t="n"/>
      <c r="T5" s="60" t="n"/>
      <c r="U5" s="6">
        <f>T5-Q5</f>
        <v/>
      </c>
      <c r="V5" s="6" t="n"/>
      <c r="W5" s="60" t="n"/>
      <c r="X5" s="6">
        <f>W5-T5</f>
        <v/>
      </c>
      <c r="Y5" s="6" t="n"/>
      <c r="Z5" s="60" t="n"/>
      <c r="AA5" s="6">
        <f>Z5-W5</f>
        <v/>
      </c>
      <c r="AB5" s="6" t="n"/>
      <c r="AC5" s="60" t="n"/>
      <c r="AD5" s="6">
        <f>AC5-Z5</f>
        <v/>
      </c>
      <c r="AE5" s="6" t="n"/>
      <c r="AF5" s="60" t="n"/>
      <c r="AG5" s="6">
        <f>AF5-AC5</f>
        <v/>
      </c>
      <c r="AH5" s="6" t="n"/>
      <c r="AI5" s="60" t="n"/>
      <c r="AJ5" s="6">
        <f>AI5-AF5</f>
        <v/>
      </c>
      <c r="AK5" s="6" t="n"/>
      <c r="AL5" s="60" t="n"/>
      <c r="AM5" s="6">
        <f>AL5-AI5</f>
        <v/>
      </c>
      <c r="AN5" s="6" t="n"/>
      <c r="AO5" s="60" t="n"/>
      <c r="AP5" s="6">
        <f>AO5-AL5</f>
        <v/>
      </c>
      <c r="AQ5" s="6" t="n"/>
      <c r="AR5" s="60" t="n"/>
      <c r="AS5" s="6">
        <f>AR5-AO5</f>
        <v/>
      </c>
      <c r="AT5" s="6" t="n"/>
      <c r="AU5" s="60" t="n"/>
      <c r="AV5" s="6">
        <f>AU5-AR5</f>
        <v/>
      </c>
      <c r="AW5" s="6" t="n"/>
      <c r="AX5" s="60" t="n"/>
      <c r="AY5" s="6">
        <f>AX5-AU5</f>
        <v/>
      </c>
      <c r="AZ5" s="6" t="n"/>
      <c r="BA5" s="60" t="n"/>
      <c r="BB5" s="6">
        <f>BA5-AX5</f>
        <v/>
      </c>
      <c r="BC5" s="6" t="n"/>
      <c r="BD5" s="60" t="n"/>
      <c r="BE5" s="6">
        <f>BD5-BA5</f>
        <v/>
      </c>
      <c r="BF5" s="6" t="n"/>
      <c r="BG5" s="60" t="n"/>
      <c r="BH5" s="6">
        <f>BG5-BD5</f>
        <v/>
      </c>
      <c r="BI5" s="6" t="n"/>
      <c r="BJ5" s="60" t="n"/>
      <c r="BK5" s="6">
        <f>BJ5-BG5</f>
        <v/>
      </c>
      <c r="BL5" s="6" t="n"/>
      <c r="BM5" s="60" t="n"/>
      <c r="BN5" s="6">
        <f>BM5-BJ5</f>
        <v/>
      </c>
      <c r="BO5" s="6" t="n"/>
      <c r="BP5" s="60" t="n"/>
      <c r="BQ5" s="6">
        <f>BP5-BM5</f>
        <v/>
      </c>
      <c r="BR5" s="6" t="n"/>
      <c r="BS5" s="60" t="n"/>
      <c r="BT5" s="6">
        <f>BS5-BP5</f>
        <v/>
      </c>
      <c r="BU5" s="6" t="n"/>
      <c r="BV5" s="60" t="n"/>
      <c r="BW5" s="6">
        <f>BV5-BS5</f>
        <v/>
      </c>
      <c r="BX5" s="6" t="n"/>
      <c r="BY5" s="60" t="n"/>
      <c r="BZ5" s="6">
        <f>BY5-BV5</f>
        <v/>
      </c>
      <c r="CA5" s="6" t="n"/>
    </row>
    <row r="6" ht="15" customHeight="1">
      <c r="C6" s="30" t="inlineStr">
        <is>
          <t>Водоканал холодная Тариф</t>
        </is>
      </c>
      <c r="D6" s="28" t="n"/>
      <c r="E6" s="2" t="n"/>
      <c r="F6" s="72" t="n"/>
      <c r="G6" s="8">
        <f>G5/F5</f>
        <v/>
      </c>
      <c r="H6" s="2" t="n"/>
      <c r="I6" s="72" t="n"/>
      <c r="J6" s="8">
        <f>J5/I5</f>
        <v/>
      </c>
      <c r="K6" s="2" t="n"/>
      <c r="L6" s="72" t="n"/>
      <c r="M6" s="8">
        <f>M5/L5</f>
        <v/>
      </c>
      <c r="N6" s="2" t="n"/>
      <c r="O6" s="72" t="n"/>
      <c r="P6" s="8" t="n">
        <v>21</v>
      </c>
      <c r="Q6" s="2" t="n"/>
      <c r="R6" s="72" t="n"/>
      <c r="S6" s="8" t="n">
        <v>30</v>
      </c>
      <c r="T6" s="2" t="n"/>
      <c r="U6" s="72" t="n"/>
      <c r="V6" s="8">
        <f>V5/U5</f>
        <v/>
      </c>
      <c r="W6" s="2" t="n"/>
      <c r="X6" s="72" t="n"/>
      <c r="Y6" s="8">
        <f>Y5/X5</f>
        <v/>
      </c>
      <c r="Z6" s="2" t="n"/>
      <c r="AA6" s="72" t="n"/>
      <c r="AB6" s="8">
        <f>AB5/AA5</f>
        <v/>
      </c>
      <c r="AC6" s="2" t="n"/>
      <c r="AD6" s="72" t="n"/>
      <c r="AE6" s="8">
        <f>AE5/AD5</f>
        <v/>
      </c>
      <c r="AF6" s="2" t="n"/>
      <c r="AG6" s="72" t="n"/>
      <c r="AH6" s="8">
        <f>AH5/AG5</f>
        <v/>
      </c>
      <c r="AI6" s="2" t="n"/>
      <c r="AJ6" s="72" t="n"/>
      <c r="AK6" s="8">
        <f>AK5/AJ5</f>
        <v/>
      </c>
      <c r="AL6" s="2" t="n"/>
      <c r="AM6" s="72" t="n"/>
      <c r="AN6" s="8">
        <f>AN5/AM5</f>
        <v/>
      </c>
      <c r="AO6" s="2" t="n"/>
      <c r="AP6" s="72" t="n"/>
      <c r="AQ6" s="8">
        <f>AQ5/AP5</f>
        <v/>
      </c>
      <c r="AR6" s="2" t="n"/>
      <c r="AS6" s="72" t="n"/>
      <c r="AT6" s="8">
        <f>AT5/AS5</f>
        <v/>
      </c>
      <c r="AU6" s="2" t="n"/>
      <c r="AV6" s="72" t="n"/>
      <c r="AW6" s="8">
        <f>AW5/AV5</f>
        <v/>
      </c>
      <c r="AX6" s="2" t="n"/>
      <c r="AY6" s="72" t="n"/>
      <c r="AZ6" s="8">
        <f>AZ5/AY5</f>
        <v/>
      </c>
      <c r="BA6" s="2" t="n"/>
      <c r="BB6" s="72" t="n"/>
      <c r="BC6" s="8">
        <f>BC5/BB5</f>
        <v/>
      </c>
      <c r="BD6" s="2" t="n"/>
      <c r="BE6" s="72" t="n"/>
      <c r="BF6" s="8">
        <f>BF5/BE5</f>
        <v/>
      </c>
      <c r="BG6" s="2" t="n"/>
      <c r="BH6" s="72" t="n"/>
      <c r="BI6" s="8">
        <f>BI5/BH5</f>
        <v/>
      </c>
      <c r="BJ6" s="2" t="n"/>
      <c r="BK6" s="72" t="n"/>
      <c r="BL6" s="8">
        <f>BL5/BK5</f>
        <v/>
      </c>
      <c r="BM6" s="2" t="n"/>
      <c r="BN6" s="72" t="n"/>
      <c r="BO6" s="8">
        <f>BO5/BN5</f>
        <v/>
      </c>
      <c r="BP6" s="2" t="n"/>
      <c r="BQ6" s="72" t="n"/>
      <c r="BR6" s="8">
        <f>BR5/BQ5</f>
        <v/>
      </c>
      <c r="BS6" s="2" t="n"/>
      <c r="BT6" s="72" t="n"/>
      <c r="BU6" s="8">
        <f>BU5/BT5</f>
        <v/>
      </c>
      <c r="BV6" s="2" t="n"/>
      <c r="BW6" s="72" t="n"/>
      <c r="BX6" s="8">
        <f>BX5/BW5</f>
        <v/>
      </c>
      <c r="BY6" s="2" t="n"/>
      <c r="BZ6" s="72" t="n"/>
      <c r="CA6" s="8">
        <f>CA5/BZ5</f>
        <v/>
      </c>
    </row>
    <row r="7" ht="15" customHeight="1">
      <c r="C7" s="30" t="inlineStr">
        <is>
          <t>Водоканал горячая вода</t>
        </is>
      </c>
      <c r="D7" s="59" t="n">
        <v>115000</v>
      </c>
      <c r="E7" s="60" t="n">
        <v>120000</v>
      </c>
      <c r="F7" s="6" t="n">
        <v>222222</v>
      </c>
      <c r="G7" s="6" t="n">
        <v>20000</v>
      </c>
      <c r="H7" s="59" t="n">
        <v>222222</v>
      </c>
      <c r="I7" s="6">
        <f>H7-E7</f>
        <v/>
      </c>
      <c r="J7" s="6" t="n">
        <v>20000</v>
      </c>
      <c r="K7" s="59" t="n">
        <v>17912</v>
      </c>
      <c r="L7" s="6">
        <f>K7-H7</f>
        <v/>
      </c>
      <c r="M7" s="6" t="n">
        <v>12</v>
      </c>
      <c r="N7" s="60" t="n"/>
      <c r="O7" s="6">
        <f>N7-K7</f>
        <v/>
      </c>
      <c r="P7" s="6" t="n"/>
      <c r="Q7" s="60" t="n"/>
      <c r="R7" s="6">
        <f>Q7-N7</f>
        <v/>
      </c>
      <c r="S7" s="6" t="n"/>
      <c r="T7" s="60" t="n"/>
      <c r="U7" s="6">
        <f>T7-Q7</f>
        <v/>
      </c>
      <c r="V7" s="6" t="n"/>
      <c r="W7" s="60" t="n"/>
      <c r="X7" s="6">
        <f>W7-T7</f>
        <v/>
      </c>
      <c r="Y7" s="6" t="n"/>
      <c r="Z7" s="60" t="n"/>
      <c r="AA7" s="6">
        <f>Z7-W7</f>
        <v/>
      </c>
      <c r="AB7" s="6" t="n"/>
      <c r="AC7" s="60" t="n"/>
      <c r="AD7" s="6">
        <f>AC7-Z7</f>
        <v/>
      </c>
      <c r="AE7" s="6" t="n"/>
      <c r="AF7" s="60" t="n"/>
      <c r="AG7" s="6">
        <f>AF7-AC7</f>
        <v/>
      </c>
      <c r="AH7" s="6" t="n"/>
      <c r="AI7" s="60" t="n"/>
      <c r="AJ7" s="6">
        <f>AI7-AF7</f>
        <v/>
      </c>
      <c r="AK7" s="6" t="n"/>
      <c r="AL7" s="60" t="n"/>
      <c r="AM7" s="6">
        <f>AL7-AI7</f>
        <v/>
      </c>
      <c r="AN7" s="6" t="n"/>
      <c r="AO7" s="60" t="n"/>
      <c r="AP7" s="6">
        <f>AO7-AL7</f>
        <v/>
      </c>
      <c r="AQ7" s="6" t="n"/>
      <c r="AR7" s="60" t="n"/>
      <c r="AS7" s="6">
        <f>AR7-AO7</f>
        <v/>
      </c>
      <c r="AT7" s="6" t="n"/>
      <c r="AU7" s="60" t="n"/>
      <c r="AV7" s="6">
        <f>AU7-AR7</f>
        <v/>
      </c>
      <c r="AW7" s="6" t="n"/>
      <c r="AX7" s="60" t="n"/>
      <c r="AY7" s="6">
        <f>AX7-AU7</f>
        <v/>
      </c>
      <c r="AZ7" s="6" t="n"/>
      <c r="BA7" s="60" t="n"/>
      <c r="BB7" s="6">
        <f>BA7-AX7</f>
        <v/>
      </c>
      <c r="BC7" s="6" t="n"/>
      <c r="BD7" s="60" t="n"/>
      <c r="BE7" s="6">
        <f>BD7-BA7</f>
        <v/>
      </c>
      <c r="BF7" s="6" t="n"/>
      <c r="BG7" s="60" t="n"/>
      <c r="BH7" s="6">
        <f>BG7-BD7</f>
        <v/>
      </c>
      <c r="BI7" s="6" t="n"/>
      <c r="BJ7" s="60" t="n"/>
      <c r="BK7" s="6">
        <f>BJ7-BG7</f>
        <v/>
      </c>
      <c r="BL7" s="6" t="n"/>
      <c r="BM7" s="60" t="n"/>
      <c r="BN7" s="6">
        <f>BM7-BJ7</f>
        <v/>
      </c>
      <c r="BO7" s="6" t="n"/>
      <c r="BP7" s="60" t="n"/>
      <c r="BQ7" s="6">
        <f>BP7-BM7</f>
        <v/>
      </c>
      <c r="BR7" s="6" t="n"/>
      <c r="BS7" s="60" t="n"/>
      <c r="BT7" s="6">
        <f>BS7-BP7</f>
        <v/>
      </c>
      <c r="BU7" s="6" t="n"/>
      <c r="BV7" s="60" t="n"/>
      <c r="BW7" s="6">
        <f>BV7-BS7</f>
        <v/>
      </c>
      <c r="BX7" s="6" t="n"/>
      <c r="BY7" s="60" t="n"/>
      <c r="BZ7" s="6">
        <f>BY7-BV7</f>
        <v/>
      </c>
      <c r="CA7" s="6" t="n"/>
    </row>
    <row r="8" ht="15" customHeight="1">
      <c r="C8" s="30" t="inlineStr">
        <is>
          <t>Водоканал горячая Тариф</t>
        </is>
      </c>
      <c r="D8" s="28" t="n"/>
      <c r="E8" s="2" t="n"/>
      <c r="F8" s="72" t="n"/>
      <c r="G8" s="8">
        <f>G7/F7</f>
        <v/>
      </c>
      <c r="H8" s="2" t="n"/>
      <c r="I8" s="72" t="n"/>
      <c r="J8" s="8">
        <f>J7/I7</f>
        <v/>
      </c>
      <c r="K8" s="2" t="n"/>
      <c r="L8" s="72" t="n"/>
      <c r="M8" s="8">
        <f>M7/L7</f>
        <v/>
      </c>
      <c r="N8" s="2" t="n"/>
      <c r="O8" s="72" t="n"/>
      <c r="P8" s="8" t="n">
        <v>21</v>
      </c>
      <c r="Q8" s="2" t="n"/>
      <c r="R8" s="72" t="n"/>
      <c r="S8" s="8" t="n">
        <v>30</v>
      </c>
      <c r="T8" s="2" t="n"/>
      <c r="U8" s="72" t="n"/>
      <c r="V8" s="8">
        <f>V7/U7</f>
        <v/>
      </c>
      <c r="W8" s="2" t="n"/>
      <c r="X8" s="72" t="n"/>
      <c r="Y8" s="8">
        <f>Y7/X7</f>
        <v/>
      </c>
      <c r="Z8" s="2" t="n"/>
      <c r="AA8" s="72" t="n"/>
      <c r="AB8" s="8">
        <f>AB7/AA7</f>
        <v/>
      </c>
      <c r="AC8" s="2" t="n"/>
      <c r="AD8" s="72" t="n"/>
      <c r="AE8" s="8">
        <f>AE7/AD7</f>
        <v/>
      </c>
      <c r="AF8" s="2" t="n"/>
      <c r="AG8" s="72" t="n"/>
      <c r="AH8" s="8">
        <f>AH7/AG7</f>
        <v/>
      </c>
      <c r="AI8" s="2" t="n"/>
      <c r="AJ8" s="72" t="n"/>
      <c r="AK8" s="8">
        <f>AK7/AJ7</f>
        <v/>
      </c>
      <c r="AL8" s="2" t="n"/>
      <c r="AM8" s="72" t="n"/>
      <c r="AN8" s="8">
        <f>AN7/AM7</f>
        <v/>
      </c>
      <c r="AO8" s="2" t="n"/>
      <c r="AP8" s="72" t="n"/>
      <c r="AQ8" s="8">
        <f>AQ7/AP7</f>
        <v/>
      </c>
      <c r="AR8" s="2" t="n"/>
      <c r="AS8" s="72" t="n"/>
      <c r="AT8" s="8">
        <f>AT7/AS7</f>
        <v/>
      </c>
      <c r="AU8" s="2" t="n"/>
      <c r="AV8" s="72" t="n"/>
      <c r="AW8" s="8">
        <f>AW7/AV7</f>
        <v/>
      </c>
      <c r="AX8" s="2" t="n"/>
      <c r="AY8" s="72" t="n"/>
      <c r="AZ8" s="8">
        <f>AZ7/AY7</f>
        <v/>
      </c>
      <c r="BA8" s="2" t="n"/>
      <c r="BB8" s="72" t="n"/>
      <c r="BC8" s="8">
        <f>BC7/BB7</f>
        <v/>
      </c>
      <c r="BD8" s="2" t="n"/>
      <c r="BE8" s="72" t="n"/>
      <c r="BF8" s="8">
        <f>BF7/BE7</f>
        <v/>
      </c>
      <c r="BG8" s="2" t="n"/>
      <c r="BH8" s="72" t="n"/>
      <c r="BI8" s="8">
        <f>BI7/BH7</f>
        <v/>
      </c>
      <c r="BJ8" s="2" t="n"/>
      <c r="BK8" s="72" t="n"/>
      <c r="BL8" s="8">
        <f>BL7/BK7</f>
        <v/>
      </c>
      <c r="BM8" s="2" t="n"/>
      <c r="BN8" s="72" t="n"/>
      <c r="BO8" s="8">
        <f>BO7/BN7</f>
        <v/>
      </c>
      <c r="BP8" s="2" t="n"/>
      <c r="BQ8" s="72" t="n"/>
      <c r="BR8" s="8">
        <f>BR7/BQ7</f>
        <v/>
      </c>
      <c r="BS8" s="2" t="n"/>
      <c r="BT8" s="72" t="n"/>
      <c r="BU8" s="8">
        <f>BU7/BT7</f>
        <v/>
      </c>
      <c r="BV8" s="2" t="n"/>
      <c r="BW8" s="72" t="n"/>
      <c r="BX8" s="8">
        <f>BX7/BW7</f>
        <v/>
      </c>
      <c r="BY8" s="2" t="n"/>
      <c r="BZ8" s="72" t="n"/>
      <c r="CA8" s="8">
        <f>CA7/BZ7</f>
        <v/>
      </c>
    </row>
    <row r="9" ht="15" customHeight="1">
      <c r="C9" s="30" t="inlineStr">
        <is>
          <t>Тепло</t>
        </is>
      </c>
      <c r="D9" s="28" t="n"/>
      <c r="E9" s="2" t="n"/>
      <c r="F9" s="6" t="n">
        <v>222222</v>
      </c>
      <c r="G9" s="6" t="n">
        <v>12000</v>
      </c>
      <c r="H9" s="2" t="n">
        <v>222222</v>
      </c>
      <c r="I9" s="6" t="n">
        <v>1000</v>
      </c>
      <c r="J9" s="6" t="n">
        <v>12000</v>
      </c>
      <c r="K9" s="2" t="n">
        <v>2000</v>
      </c>
      <c r="L9" s="6" t="n"/>
      <c r="M9" s="6" t="n">
        <v>10000</v>
      </c>
      <c r="N9" s="2" t="n"/>
      <c r="O9" s="6" t="n"/>
      <c r="P9" s="6" t="n"/>
      <c r="Q9" s="2" t="n"/>
      <c r="R9" s="6" t="n"/>
      <c r="S9" s="6" t="n"/>
      <c r="T9" s="2" t="n"/>
      <c r="U9" s="6" t="n"/>
      <c r="V9" s="6" t="n"/>
      <c r="W9" s="2" t="n"/>
      <c r="X9" s="6" t="n"/>
      <c r="Y9" s="6" t="n"/>
      <c r="Z9" s="2" t="n"/>
      <c r="AA9" s="6" t="n"/>
      <c r="AB9" s="6" t="n"/>
      <c r="AC9" s="2" t="n"/>
      <c r="AD9" s="6" t="n"/>
      <c r="AE9" s="6" t="n"/>
      <c r="AF9" s="2" t="n"/>
      <c r="AG9" s="6" t="n"/>
      <c r="AH9" s="6" t="n"/>
      <c r="AI9" s="2" t="n"/>
      <c r="AJ9" s="6" t="n"/>
      <c r="AK9" s="6" t="n"/>
      <c r="AL9" s="2" t="n"/>
      <c r="AM9" s="6" t="n"/>
      <c r="AN9" s="6" t="n"/>
      <c r="AO9" s="2" t="n"/>
      <c r="AP9" s="6" t="n"/>
      <c r="AQ9" s="6" t="n"/>
      <c r="AR9" s="2" t="n"/>
      <c r="AS9" s="6" t="n"/>
      <c r="AT9" s="6" t="n"/>
      <c r="AU9" s="2" t="n"/>
      <c r="AV9" s="6" t="n"/>
      <c r="AW9" s="6" t="n"/>
      <c r="AX9" s="2" t="n"/>
      <c r="AY9" s="6" t="n"/>
      <c r="AZ9" s="6" t="n"/>
      <c r="BA9" s="2" t="n"/>
      <c r="BB9" s="6" t="n"/>
      <c r="BC9" s="6" t="n"/>
      <c r="BD9" s="2" t="n"/>
      <c r="BE9" s="6" t="n"/>
      <c r="BF9" s="6" t="n"/>
      <c r="BG9" s="2" t="n"/>
      <c r="BH9" s="6" t="n"/>
      <c r="BI9" s="6" t="n"/>
      <c r="BJ9" s="2" t="n"/>
      <c r="BK9" s="6" t="n"/>
      <c r="BL9" s="6" t="n"/>
      <c r="BM9" s="2" t="n"/>
      <c r="BN9" s="6" t="n"/>
      <c r="BO9" s="6" t="n"/>
      <c r="BP9" s="2" t="n"/>
      <c r="BQ9" s="6" t="n"/>
      <c r="BR9" s="6" t="n"/>
      <c r="BS9" s="2" t="n"/>
      <c r="BT9" s="6" t="n"/>
      <c r="BU9" s="6" t="n"/>
      <c r="BV9" s="2" t="n"/>
      <c r="BW9" s="6" t="n"/>
      <c r="BX9" s="6" t="n"/>
      <c r="BY9" s="2" t="n"/>
      <c r="BZ9" s="6" t="n"/>
      <c r="CA9" s="6" t="n"/>
    </row>
    <row r="10" ht="15" customHeight="1">
      <c r="C10" s="30" t="inlineStr">
        <is>
          <t>Тепло тариф</t>
        </is>
      </c>
      <c r="D10" s="28" t="n"/>
      <c r="E10" s="2" t="n"/>
      <c r="F10" s="72" t="n"/>
      <c r="G10" s="8">
        <f>G9/$B3</f>
        <v/>
      </c>
      <c r="H10" s="2" t="n"/>
      <c r="I10" s="72" t="n"/>
      <c r="J10" s="8">
        <f>J9/$B3</f>
        <v/>
      </c>
      <c r="K10" s="2" t="n"/>
      <c r="L10" s="72" t="n"/>
      <c r="M10" s="8">
        <f>M9/$B3</f>
        <v/>
      </c>
      <c r="N10" s="2" t="n"/>
      <c r="O10" s="72" t="n"/>
      <c r="P10" s="8">
        <f>P9/$B3</f>
        <v/>
      </c>
      <c r="Q10" s="2" t="n"/>
      <c r="R10" s="72" t="n"/>
      <c r="S10" s="8">
        <f>S9/$B3</f>
        <v/>
      </c>
      <c r="T10" s="2" t="n"/>
      <c r="U10" s="72" t="n"/>
      <c r="V10" s="8">
        <f>V9/$B3</f>
        <v/>
      </c>
      <c r="W10" s="2" t="n"/>
      <c r="X10" s="72" t="n"/>
      <c r="Y10" s="8">
        <f>Y9/$B3</f>
        <v/>
      </c>
      <c r="Z10" s="2" t="n"/>
      <c r="AA10" s="72" t="n"/>
      <c r="AB10" s="8">
        <f>AB9/$B3</f>
        <v/>
      </c>
      <c r="AC10" s="2" t="n"/>
      <c r="AD10" s="72" t="n"/>
      <c r="AE10" s="8">
        <f>AE9/$B3</f>
        <v/>
      </c>
      <c r="AF10" s="2" t="n"/>
      <c r="AG10" s="72" t="n"/>
      <c r="AH10" s="8">
        <f>AH9/$B3</f>
        <v/>
      </c>
      <c r="AI10" s="2" t="n"/>
      <c r="AJ10" s="72" t="n"/>
      <c r="AK10" s="8">
        <f>AK9/$B3</f>
        <v/>
      </c>
      <c r="AL10" s="2" t="n"/>
      <c r="AM10" s="72" t="n"/>
      <c r="AN10" s="8">
        <f>AN9/$B3</f>
        <v/>
      </c>
      <c r="AO10" s="2" t="n"/>
      <c r="AP10" s="72" t="n"/>
      <c r="AQ10" s="8">
        <f>AQ9/$B3</f>
        <v/>
      </c>
      <c r="AR10" s="2" t="n"/>
      <c r="AS10" s="72" t="n"/>
      <c r="AT10" s="8">
        <f>AT9/$B3</f>
        <v/>
      </c>
      <c r="AU10" s="2" t="n"/>
      <c r="AV10" s="72" t="n"/>
      <c r="AW10" s="8">
        <f>AW9/$B3</f>
        <v/>
      </c>
      <c r="AX10" s="2" t="n"/>
      <c r="AY10" s="72" t="n"/>
      <c r="AZ10" s="8">
        <f>AZ9/$B3</f>
        <v/>
      </c>
      <c r="BA10" s="2" t="n"/>
      <c r="BB10" s="72" t="n"/>
      <c r="BC10" s="8">
        <f>BC9/$B3</f>
        <v/>
      </c>
      <c r="BD10" s="2" t="n"/>
      <c r="BE10" s="72" t="n"/>
      <c r="BF10" s="8">
        <f>BF9/$B3</f>
        <v/>
      </c>
      <c r="BG10" s="2" t="n"/>
      <c r="BH10" s="72" t="n"/>
      <c r="BI10" s="8">
        <f>BI9/$B3</f>
        <v/>
      </c>
      <c r="BJ10" s="2" t="n"/>
      <c r="BK10" s="72" t="n"/>
      <c r="BL10" s="8">
        <f>BL9/$B3</f>
        <v/>
      </c>
      <c r="BM10" s="2" t="n"/>
      <c r="BN10" s="72" t="n"/>
      <c r="BO10" s="8">
        <f>BO9/$B3</f>
        <v/>
      </c>
      <c r="BP10" s="2" t="n"/>
      <c r="BQ10" s="72" t="n"/>
      <c r="BR10" s="8">
        <f>BR9/$B3</f>
        <v/>
      </c>
      <c r="BS10" s="2" t="n"/>
      <c r="BT10" s="72" t="n"/>
      <c r="BU10" s="8">
        <f>BU9/$B3</f>
        <v/>
      </c>
      <c r="BV10" s="2" t="n"/>
      <c r="BW10" s="72" t="n"/>
      <c r="BX10" s="8">
        <f>BX9/$B3</f>
        <v/>
      </c>
      <c r="BY10" s="2" t="n"/>
      <c r="BZ10" s="72" t="n"/>
      <c r="CA10" s="8">
        <f>CA9/$B3</f>
        <v/>
      </c>
    </row>
    <row r="11">
      <c r="C11" s="31" t="inlineStr">
        <is>
          <t>Экспл. Услуги от УК</t>
        </is>
      </c>
      <c r="D11" s="28" t="n"/>
      <c r="E11" s="2" t="n"/>
      <c r="F11" s="80" t="n"/>
      <c r="G11" s="6" t="n">
        <v>85000</v>
      </c>
      <c r="H11" s="2" t="n">
        <v>222222</v>
      </c>
      <c r="I11" s="6">
        <f>J11/(Реестр!A20)</f>
        <v/>
      </c>
      <c r="J11" s="6" t="n">
        <v>85000</v>
      </c>
      <c r="K11" s="2" t="n"/>
      <c r="L11" s="6">
        <f>M11/(Реестр!$A20)</f>
        <v/>
      </c>
      <c r="M11" s="6" t="n">
        <v>50000</v>
      </c>
      <c r="N11" s="2" t="n"/>
      <c r="O11" s="6">
        <f>P11/(Реестр!$A20)</f>
        <v/>
      </c>
      <c r="P11" s="6" t="n">
        <v>23</v>
      </c>
      <c r="Q11" s="2" t="n"/>
      <c r="R11" s="6">
        <f>S11/(Реестр!$A20)</f>
        <v/>
      </c>
      <c r="S11" s="6" t="n"/>
      <c r="T11" s="2" t="n"/>
      <c r="U11" s="6">
        <f>V11/(Реестр!$A20)</f>
        <v/>
      </c>
      <c r="V11" s="6" t="n"/>
      <c r="W11" s="2" t="n"/>
      <c r="X11" s="6">
        <f>Y11/(Реестр!$A20)</f>
        <v/>
      </c>
      <c r="Y11" s="6" t="n"/>
      <c r="Z11" s="2" t="n"/>
      <c r="AA11" s="6">
        <f>AB11/(Реестр!$A20)</f>
        <v/>
      </c>
      <c r="AB11" s="6" t="n"/>
      <c r="AC11" s="2" t="n"/>
      <c r="AD11" s="6">
        <f>AE11/(Реестр!$A20)</f>
        <v/>
      </c>
      <c r="AE11" s="6" t="n"/>
      <c r="AF11" s="2" t="n"/>
      <c r="AG11" s="6">
        <f>AH11/(Реестр!$A20)</f>
        <v/>
      </c>
      <c r="AH11" s="6" t="n"/>
      <c r="AI11" s="2" t="n"/>
      <c r="AJ11" s="6" t="n"/>
      <c r="AK11" s="6" t="n"/>
      <c r="AL11" s="2" t="n"/>
      <c r="AM11" s="6" t="n"/>
      <c r="AN11" s="6" t="n"/>
      <c r="AO11" s="2" t="n"/>
      <c r="AP11" s="6" t="n"/>
      <c r="AQ11" s="6" t="n"/>
      <c r="AR11" s="2" t="n"/>
      <c r="AS11" s="6" t="n"/>
      <c r="AT11" s="6" t="n"/>
      <c r="AU11" s="2" t="n"/>
      <c r="AV11" s="6" t="n"/>
      <c r="AW11" s="6" t="n"/>
      <c r="AX11" s="2" t="n"/>
      <c r="AY11" s="6" t="n"/>
      <c r="AZ11" s="6" t="n"/>
      <c r="BA11" s="2" t="n"/>
      <c r="BB11" s="6" t="n"/>
      <c r="BC11" s="6" t="n"/>
      <c r="BD11" s="2" t="n"/>
      <c r="BE11" s="6" t="n"/>
      <c r="BF11" s="6" t="n"/>
      <c r="BG11" s="2" t="n"/>
      <c r="BH11" s="6" t="n"/>
      <c r="BI11" s="6" t="n"/>
      <c r="BJ11" s="2" t="n"/>
      <c r="BK11" s="6" t="n"/>
      <c r="BL11" s="6" t="n"/>
      <c r="BM11" s="2" t="n"/>
      <c r="BN11" s="6" t="n"/>
      <c r="BO11" s="6" t="n"/>
      <c r="BP11" s="2" t="n"/>
      <c r="BQ11" s="6" t="n"/>
      <c r="BR11" s="6" t="n"/>
      <c r="BS11" s="2" t="n"/>
      <c r="BT11" s="6" t="n"/>
      <c r="BU11" s="6" t="n"/>
      <c r="BV11" s="2" t="n"/>
      <c r="BW11" s="6" t="n"/>
      <c r="BX11" s="6" t="n"/>
      <c r="BY11" s="2" t="n"/>
      <c r="BZ11" s="6" t="n"/>
      <c r="CA11" s="6" t="n"/>
    </row>
    <row r="12">
      <c r="C12" s="31" t="inlineStr">
        <is>
          <t>Экспл. Услуги от УК тариф</t>
        </is>
      </c>
      <c r="D12" s="28" t="n"/>
      <c r="E12" s="2" t="n"/>
      <c r="F12" s="72" t="n"/>
      <c r="G12" s="8">
        <f>G11/B5</f>
        <v/>
      </c>
      <c r="H12" s="2" t="n"/>
      <c r="I12" s="72" t="n"/>
      <c r="J12" s="8">
        <f>J11/$B3</f>
        <v/>
      </c>
      <c r="K12" s="2" t="n"/>
      <c r="L12" s="72" t="n"/>
      <c r="M12" s="8">
        <f>M11/$B3</f>
        <v/>
      </c>
      <c r="N12" s="2" t="n"/>
      <c r="O12" s="72" t="n"/>
      <c r="P12" s="8">
        <f>P11/$B3</f>
        <v/>
      </c>
      <c r="Q12" s="2" t="n"/>
      <c r="R12" s="72" t="n"/>
      <c r="S12" s="8">
        <f>S11/$B3</f>
        <v/>
      </c>
      <c r="T12" s="2" t="n"/>
      <c r="U12" s="72" t="n"/>
      <c r="V12" s="8">
        <f>V11/$B3</f>
        <v/>
      </c>
      <c r="W12" s="2" t="n"/>
      <c r="X12" s="72" t="n"/>
      <c r="Y12" s="8">
        <f>Y11/$B3</f>
        <v/>
      </c>
      <c r="Z12" s="2" t="n"/>
      <c r="AA12" s="72" t="n"/>
      <c r="AB12" s="8">
        <f>AB11/$B3</f>
        <v/>
      </c>
      <c r="AC12" s="2" t="n"/>
      <c r="AD12" s="72" t="n"/>
      <c r="AE12" s="8">
        <f>AE11/$B3</f>
        <v/>
      </c>
      <c r="AF12" s="2" t="n"/>
      <c r="AG12" s="72" t="n"/>
      <c r="AH12" s="8">
        <f>AH11/$B3</f>
        <v/>
      </c>
      <c r="AI12" s="2" t="n"/>
      <c r="AJ12" s="72" t="n"/>
      <c r="AK12" s="8">
        <f>AK11/$B3</f>
        <v/>
      </c>
      <c r="AL12" s="2" t="n"/>
      <c r="AM12" s="72" t="n"/>
      <c r="AN12" s="8">
        <f>AN11/$B3</f>
        <v/>
      </c>
      <c r="AO12" s="2" t="n"/>
      <c r="AP12" s="72" t="n"/>
      <c r="AQ12" s="8">
        <f>AQ11/$B3</f>
        <v/>
      </c>
      <c r="AR12" s="2" t="n"/>
      <c r="AS12" s="72" t="n"/>
      <c r="AT12" s="8">
        <f>AT11/$B3</f>
        <v/>
      </c>
      <c r="AU12" s="2" t="n"/>
      <c r="AV12" s="72" t="n"/>
      <c r="AW12" s="8">
        <f>AW11/$B3</f>
        <v/>
      </c>
      <c r="AX12" s="2" t="n"/>
      <c r="AY12" s="72" t="n"/>
      <c r="AZ12" s="8">
        <f>AZ11/$B3</f>
        <v/>
      </c>
      <c r="BA12" s="2" t="n"/>
      <c r="BB12" s="72" t="n"/>
      <c r="BC12" s="8">
        <f>BC11/$B3</f>
        <v/>
      </c>
      <c r="BD12" s="2" t="n"/>
      <c r="BE12" s="72" t="n"/>
      <c r="BF12" s="8">
        <f>BF11/$B3</f>
        <v/>
      </c>
      <c r="BG12" s="2" t="n"/>
      <c r="BH12" s="72" t="n"/>
      <c r="BI12" s="8">
        <f>BI11/$B3</f>
        <v/>
      </c>
      <c r="BJ12" s="2" t="n"/>
      <c r="BK12" s="72" t="n"/>
      <c r="BL12" s="8">
        <f>BL11/$B3</f>
        <v/>
      </c>
      <c r="BM12" s="2" t="n"/>
      <c r="BN12" s="72" t="n"/>
      <c r="BO12" s="8">
        <f>BO11/$B3</f>
        <v/>
      </c>
      <c r="BP12" s="2" t="n"/>
      <c r="BQ12" s="72" t="n"/>
      <c r="BR12" s="8">
        <f>BR11/$B3</f>
        <v/>
      </c>
      <c r="BS12" s="2" t="n"/>
      <c r="BT12" s="72" t="n"/>
      <c r="BU12" s="8">
        <f>BU11/$B3</f>
        <v/>
      </c>
      <c r="BV12" s="2" t="n"/>
      <c r="BW12" s="72" t="n"/>
      <c r="BX12" s="8">
        <f>BX11/$B3</f>
        <v/>
      </c>
      <c r="BY12" s="2" t="n"/>
      <c r="BZ12" s="72" t="n"/>
      <c r="CA12" s="8">
        <f>CA11/$B3</f>
        <v/>
      </c>
    </row>
    <row r="14">
      <c r="A14" s="9" t="n"/>
      <c r="B14" s="1" t="inlineStr">
        <is>
          <t>Физическое снятие показаний</t>
        </is>
      </c>
    </row>
    <row r="15">
      <c r="A15" s="10" t="n"/>
      <c r="B15" s="1" t="inlineStr">
        <is>
          <t>Из счёт фактуры должно подгятиваться</t>
        </is>
      </c>
    </row>
    <row r="16">
      <c r="A16" s="11" t="n"/>
      <c r="B16" s="1" t="inlineStr">
        <is>
          <t>Расчётные ячейки</t>
        </is>
      </c>
      <c r="G16" s="16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31" zoomScaleNormal="100" workbookViewId="0">
      <pane xSplit="3" ySplit="12" topLeftCell="D13" activePane="bottomRight" state="frozen"/>
      <selection pane="topRight" activeCell="D1" sqref="D1"/>
      <selection pane="bottomLeft" activeCell="A12" sqref="A12"/>
      <selection pane="bottomRight" activeCell="J10" sqref="J10"/>
    </sheetView>
  </sheetViews>
  <sheetFormatPr baseColWidth="8" defaultColWidth="10" defaultRowHeight="15"/>
  <cols>
    <col width="14" bestFit="1" customWidth="1" min="1" max="1"/>
    <col width="12.7109375" bestFit="1" customWidth="1" min="2" max="2"/>
    <col width="24.140625" bestFit="1" customWidth="1" style="1" min="3" max="3"/>
    <col width="7.42578125" bestFit="1" customWidth="1" min="4" max="4"/>
    <col width="9.42578125" customWidth="1" min="5" max="5"/>
    <col width="9.85546875" bestFit="1" customWidth="1" style="1" min="6" max="6"/>
    <col width="13" customWidth="1" style="1" min="7" max="7"/>
    <col width="6.42578125" bestFit="1" customWidth="1" min="8" max="8"/>
    <col width="9.85546875" bestFit="1" customWidth="1" style="1" min="9" max="9"/>
    <col width="10.140625" customWidth="1" style="1" min="10" max="10"/>
    <col width="7.85546875" bestFit="1" customWidth="1" min="11" max="11"/>
    <col width="9.85546875" bestFit="1" customWidth="1" style="1" min="12" max="12"/>
    <col width="18.425781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15" customHeight="1">
      <c r="A3" s="33" t="inlineStr">
        <is>
          <t>Арендатор</t>
        </is>
      </c>
      <c r="B3" s="34">
        <f>Реестр!F2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>
        <v>333333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15" customHeight="1">
      <c r="A4" s="33" t="inlineStr">
        <is>
          <t>Площадь</t>
        </is>
      </c>
      <c r="B4" s="34">
        <f>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inlineStr">
        <is>
          <t>11111</t>
        </is>
      </c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Реестр!N2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inlineStr">
        <is>
          <t>22222</t>
        </is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3">
        <f>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4.1" customHeight="1">
      <c r="A9" s="38" t="inlineStr">
        <is>
          <t>Контакт 2</t>
        </is>
      </c>
      <c r="B9" s="34">
        <f>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2" zoomScaleNormal="122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P9" sqref="P9"/>
    </sheetView>
  </sheetViews>
  <sheetFormatPr baseColWidth="8" defaultColWidth="10" defaultRowHeight="15"/>
  <cols>
    <col width="13.140625" bestFit="1" customWidth="1" min="1" max="1"/>
    <col width="25.28515625" customWidth="1" min="2" max="2"/>
    <col width="25.42578125" customWidth="1" style="1" min="3" max="3"/>
    <col width="7.42578125" bestFit="1" customWidth="1" min="4" max="4"/>
    <col width="11.28515625" customWidth="1" min="5" max="5"/>
    <col width="9.85546875" bestFit="1" customWidth="1" style="1" min="6" max="6"/>
    <col width="11.28515625" customWidth="1" style="1" min="7" max="7"/>
    <col width="12.42578125" customWidth="1" min="8" max="8"/>
    <col width="9.85546875" bestFit="1" customWidth="1" style="1" min="9" max="9"/>
    <col width="13.7109375" customWidth="1" style="1" min="10" max="10"/>
    <col width="7.85546875" bestFit="1" customWidth="1" min="11" max="11"/>
    <col width="9.85546875" bestFit="1" customWidth="1" style="1" min="12" max="12"/>
    <col width="20.425781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12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Реестр!D3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Реестр!B3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Реестр!F3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>
        <v>200000</v>
      </c>
      <c r="I3" s="22">
        <f>H3-E3</f>
        <v/>
      </c>
      <c r="J3" s="23">
        <f>I3*J4</f>
        <v/>
      </c>
      <c r="K3" s="21" t="inlineStr">
        <is>
          <t>678766</t>
        </is>
      </c>
      <c r="L3" s="22">
        <f>K3-H3</f>
        <v/>
      </c>
      <c r="M3" s="23">
        <f>L3*M4</f>
        <v/>
      </c>
      <c r="N3" s="21" t="inlineStr">
        <is>
          <t>777777</t>
        </is>
      </c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Реестр!H3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>
        <v>20000</v>
      </c>
      <c r="I5" s="22">
        <f>H5-E5</f>
        <v/>
      </c>
      <c r="J5" s="23">
        <f>I5*J6</f>
        <v/>
      </c>
      <c r="K5" s="21" t="inlineStr">
        <is>
          <t>11111</t>
        </is>
      </c>
      <c r="L5" s="22">
        <f>K5-H5</f>
        <v/>
      </c>
      <c r="M5" s="23">
        <f>L5*M6</f>
        <v/>
      </c>
      <c r="N5" s="21" t="inlineStr">
        <is>
          <t>77777</t>
        </is>
      </c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Реестр!M3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Реестр!N3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>
        <v>20000</v>
      </c>
      <c r="I7" s="22">
        <f>H7-E7</f>
        <v/>
      </c>
      <c r="J7" s="69">
        <f>J8*I7</f>
        <v/>
      </c>
      <c r="K7" s="67" t="inlineStr">
        <is>
          <t>67656</t>
        </is>
      </c>
      <c r="L7" s="22">
        <f>K7-H7</f>
        <v/>
      </c>
      <c r="M7" s="69">
        <f>M8*L7</f>
        <v/>
      </c>
      <c r="N7" s="67" t="inlineStr">
        <is>
          <t>77777</t>
        </is>
      </c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Реестр!O3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Реестр!P3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>
        <v>12345</v>
      </c>
      <c r="O9" s="22">
        <f>N9-K9</f>
        <v/>
      </c>
      <c r="P9" s="23" t="n">
        <v>112</v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 t="inlineStr">
        <is>
          <t xml:space="preserve"> 43432,34343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'0. ГИРА'!G12</f>
        <v/>
      </c>
      <c r="H11" s="21" t="n"/>
      <c r="I11" s="22">
        <f>H11-G11</f>
        <v/>
      </c>
      <c r="J11" s="23">
        <f>'0. ГИРА'!J12</f>
        <v/>
      </c>
      <c r="K11" s="21" t="n"/>
      <c r="L11" s="22">
        <f>K11-J11</f>
        <v/>
      </c>
      <c r="M11" s="23">
        <f>'0. ГИРА'!M12</f>
        <v/>
      </c>
      <c r="N11" s="21" t="n"/>
      <c r="O11" s="22">
        <f>N11-M11</f>
        <v/>
      </c>
      <c r="P11" s="23">
        <f>'0. ГИРА'!P12</f>
        <v/>
      </c>
      <c r="Q11" s="21" t="n"/>
      <c r="R11" s="22">
        <f>Q11-P11</f>
        <v/>
      </c>
      <c r="S11" s="23">
        <f>'0. ГИРА'!S12</f>
        <v/>
      </c>
      <c r="T11" s="21" t="n"/>
      <c r="U11" s="22">
        <f>T11-S11</f>
        <v/>
      </c>
      <c r="V11" s="23">
        <f>'0.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17" zoomScaleNormal="1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5" sqref="G15"/>
    </sheetView>
  </sheetViews>
  <sheetFormatPr baseColWidth="8" defaultColWidth="10" defaultRowHeight="15"/>
  <cols>
    <col width="13.140625" bestFit="1" customWidth="1" min="1" max="1"/>
    <col width="18.28515625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9.28515625" customWidth="1" style="1" min="7" max="7"/>
    <col width="6.42578125" bestFit="1" customWidth="1" min="8" max="8"/>
    <col width="9.85546875" bestFit="1" customWidth="1" style="1" min="9" max="9"/>
    <col width="12" customWidth="1" style="1" min="10" max="10"/>
    <col width="10.85546875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Реестр!D4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Реестр!B4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Реестр!F4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>
        <v>345678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Реестр!H4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>
        <v>579</v>
      </c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Реестр!M4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Реестр!N4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Реестр!O4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Реестр!P4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>
        <v>143134</v>
      </c>
      <c r="O9" s="22">
        <f>N9-K9</f>
        <v/>
      </c>
      <c r="P9" s="23" t="n">
        <v>4132</v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 t="inlineStr">
        <is>
          <t xml:space="preserve"> 677890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3" zoomScaleNormal="123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8" sqref="G18"/>
    </sheetView>
  </sheetViews>
  <sheetFormatPr baseColWidth="8" defaultColWidth="10" defaultRowHeight="15"/>
  <cols>
    <col width="13.140625" bestFit="1" customWidth="1" min="1" max="1"/>
    <col width="17.7109375" customWidth="1" min="2" max="2"/>
    <col width="25.42578125" customWidth="1" style="1" min="3" max="3"/>
    <col width="7.42578125" bestFit="1" customWidth="1" min="4" max="4"/>
    <col width="10" customWidth="1" min="5" max="5"/>
    <col width="9.85546875" bestFit="1" customWidth="1" style="1" min="6" max="6"/>
    <col width="9.28515625" customWidth="1" style="1" min="7" max="7"/>
    <col width="9.28515625" customWidth="1" min="8" max="8"/>
    <col width="9.85546875" bestFit="1" customWidth="1" style="1" min="9" max="9"/>
    <col width="6.42578125" bestFit="1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Реестр!D5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Реестр!B5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Реестр!F5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Реестр!H5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Реестр!M5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Реестр!N5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Реестр!O5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Реестр!P5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>
        <f>Реестр!J5</f>
        <v/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26" zoomScaleNormal="126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1" sqref="G11"/>
    </sheetView>
  </sheetViews>
  <sheetFormatPr baseColWidth="8" defaultColWidth="10" defaultRowHeight="15"/>
  <cols>
    <col width="13.140625" bestFit="1" customWidth="1" min="1" max="1"/>
    <col width="21.140625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9" customWidth="1" style="1" min="7" max="7"/>
    <col width="6.42578125" customWidth="1" min="8" max="8"/>
    <col width="9.85546875" bestFit="1" customWidth="1" style="1" min="9" max="9"/>
    <col width="6.42578125" bestFit="1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Реестр!D6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Реестр!B6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Реестр!F6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Реестр!H6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Реестр!M6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Реестр!N6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Реестр!O6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Реестр!P6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66" t="inlineStr">
        <is>
          <t>Номер счетчика</t>
        </is>
      </c>
      <c r="B11" t="inlineStr">
        <is>
          <t>111  000111,000788,000191, 11111111, 11111110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Normal="100" workbookViewId="0">
      <pane xSplit="3" ySplit="12" topLeftCell="D13" activePane="bottomRight" state="frozen"/>
      <selection pane="topRight" activeCell="D1" sqref="D1"/>
      <selection pane="bottomLeft" activeCell="A13" sqref="A13"/>
      <selection pane="bottomRight" activeCell="G14" sqref="G14"/>
    </sheetView>
  </sheetViews>
  <sheetFormatPr baseColWidth="8" defaultColWidth="10" defaultRowHeight="15"/>
  <cols>
    <col width="13.140625" bestFit="1" customWidth="1" min="1" max="1"/>
    <col width="20.42578125" bestFit="1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9.42578125" customWidth="1" style="1" min="7" max="7"/>
    <col width="6.42578125" bestFit="1" customWidth="1" min="8" max="8"/>
    <col width="9.85546875" bestFit="1" customWidth="1" style="1" min="9" max="9"/>
    <col width="6.42578125" bestFit="1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Реестр!D7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Реестр!B7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Реестр!F7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customFormat="1" s="3">
      <c r="A4" s="33" t="inlineStr">
        <is>
          <t>Площадь</t>
        </is>
      </c>
      <c r="B4" s="34">
        <f>Реестр!H7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15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/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15" customHeight="1">
      <c r="A6" s="37" t="inlineStr">
        <is>
          <t>Имя 1</t>
        </is>
      </c>
      <c r="B6" s="34">
        <f>Реестр!M7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 ht="15" customHeight="1">
      <c r="A7" s="38" t="inlineStr">
        <is>
          <t>Контакт 1</t>
        </is>
      </c>
      <c r="B7" s="33">
        <f>Реестр!N7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15" customHeight="1">
      <c r="A8" s="37" t="inlineStr">
        <is>
          <t>Имя 2</t>
        </is>
      </c>
      <c r="B8" s="34">
        <f>Реестр!O7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 ht="15" customHeight="1">
      <c r="A9" s="38" t="inlineStr">
        <is>
          <t>Контакт 2</t>
        </is>
      </c>
      <c r="B9" s="33">
        <f>Реестр!P7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15" customHeight="1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A12" s="66" t="inlineStr">
        <is>
          <t>Номер счетчика</t>
        </is>
      </c>
      <c r="B12">
        <f>Реестр!J7</f>
        <v/>
      </c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D16"/>
  <sheetViews>
    <sheetView zoomScale="150" zoomScaleNormal="96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G11" sqref="G11"/>
    </sheetView>
  </sheetViews>
  <sheetFormatPr baseColWidth="8" defaultColWidth="11.42578125" defaultRowHeight="15"/>
  <cols>
    <col width="14.85546875" customWidth="1" min="1" max="1"/>
    <col width="16.42578125" customWidth="1" min="2" max="2"/>
    <col width="25.42578125" customWidth="1" style="1" min="3" max="3"/>
    <col width="7.42578125" bestFit="1" customWidth="1" min="4" max="4"/>
    <col width="6.42578125" bestFit="1" customWidth="1" min="5" max="5"/>
    <col width="9.85546875" bestFit="1" customWidth="1" style="1" min="6" max="6"/>
    <col width="10.140625" customWidth="1" style="1" min="7" max="7"/>
    <col width="9.7109375" customWidth="1" min="8" max="8"/>
    <col width="9.85546875" bestFit="1" customWidth="1" style="1" min="9" max="9"/>
    <col width="9.42578125" customWidth="1" style="1" min="10" max="10"/>
    <col width="7.85546875" bestFit="1" customWidth="1" min="11" max="11"/>
    <col width="9.85546875" bestFit="1" customWidth="1" style="1" min="12" max="12"/>
    <col width="8.28515625" customWidth="1" style="1" min="13" max="13"/>
    <col width="7.42578125" bestFit="1" customWidth="1" min="14" max="14"/>
    <col width="9.85546875" bestFit="1" customWidth="1" style="1" min="15" max="15"/>
    <col width="8.28515625" bestFit="1" customWidth="1" style="1" min="16" max="16"/>
    <col width="6.42578125" bestFit="1" customWidth="1" min="17" max="17"/>
    <col width="9.85546875" bestFit="1" customWidth="1" style="1" min="18" max="18"/>
    <col width="8.28515625" bestFit="1" customWidth="1" style="1" min="19" max="19"/>
    <col width="7" bestFit="1" customWidth="1" min="20" max="20"/>
    <col width="9.85546875" bestFit="1" customWidth="1" style="1" min="21" max="21"/>
    <col width="8.28515625" bestFit="1" customWidth="1" style="1" min="22" max="22"/>
    <col width="8" bestFit="1" customWidth="1" min="23" max="23"/>
    <col width="9.85546875" bestFit="1" customWidth="1" style="1" min="24" max="24"/>
    <col width="8.28515625" bestFit="1" customWidth="1" style="1" min="25" max="25"/>
    <col width="8" bestFit="1" customWidth="1" min="26" max="26"/>
    <col width="9.85546875" bestFit="1" customWidth="1" style="1" min="27" max="27"/>
    <col width="8.28515625" bestFit="1" customWidth="1" style="1" min="28" max="28"/>
    <col width="6.140625" bestFit="1" customWidth="1" min="29" max="29"/>
    <col width="9.85546875" bestFit="1" customWidth="1" style="1" min="30" max="30"/>
    <col width="8.28515625" bestFit="1" customWidth="1" style="1" min="31" max="31"/>
    <col width="7.140625" bestFit="1" customWidth="1" min="32" max="32"/>
    <col width="9.85546875" bestFit="1" customWidth="1" style="1" min="33" max="33"/>
    <col width="8.28515625" bestFit="1" customWidth="1" style="1" min="34" max="34"/>
    <col width="6.28515625" bestFit="1" customWidth="1" min="35" max="35"/>
    <col width="9.85546875" bestFit="1" customWidth="1" style="1" min="36" max="36"/>
    <col width="8.28515625" bestFit="1" customWidth="1" style="1" min="37" max="37"/>
    <col width="7.42578125" bestFit="1" customWidth="1" min="38" max="38"/>
    <col width="9.85546875" bestFit="1" customWidth="1" style="1" min="39" max="39"/>
    <col width="8.28515625" bestFit="1" customWidth="1" style="1" min="40" max="40"/>
    <col width="6.42578125" bestFit="1" customWidth="1" min="41" max="41"/>
    <col width="9.85546875" bestFit="1" customWidth="1" style="1" min="42" max="42"/>
    <col width="8.28515625" bestFit="1" customWidth="1" style="1" min="43" max="43"/>
    <col width="6.42578125" bestFit="1" customWidth="1" min="44" max="44"/>
    <col width="9.85546875" bestFit="1" customWidth="1" style="1" min="45" max="45"/>
    <col width="8.28515625" bestFit="1" customWidth="1" style="1" min="46" max="46"/>
    <col width="7.85546875" bestFit="1" customWidth="1" min="47" max="47"/>
    <col width="9.85546875" bestFit="1" customWidth="1" min="48" max="48"/>
    <col width="8.28515625" bestFit="1" customWidth="1" min="49" max="49"/>
    <col width="7.42578125" bestFit="1" customWidth="1" min="50" max="50"/>
    <col width="9.85546875" bestFit="1" customWidth="1" min="51" max="51"/>
    <col width="8.28515625" bestFit="1" customWidth="1" min="52" max="52"/>
    <col width="6.42578125" bestFit="1" customWidth="1" min="53" max="53"/>
    <col width="9.85546875" bestFit="1" customWidth="1" min="54" max="54"/>
    <col width="8.28515625" bestFit="1" customWidth="1" min="55" max="55"/>
    <col width="7" bestFit="1" customWidth="1" min="56" max="56"/>
    <col width="9.85546875" bestFit="1" customWidth="1" min="57" max="57"/>
    <col width="8.28515625" bestFit="1" customWidth="1" min="58" max="58"/>
    <col width="8" bestFit="1" customWidth="1" min="59" max="59"/>
    <col width="9.85546875" bestFit="1" customWidth="1" min="60" max="60"/>
    <col width="8.28515625" bestFit="1" customWidth="1" min="61" max="61"/>
    <col width="8" bestFit="1" customWidth="1" min="62" max="62"/>
    <col width="9.85546875" bestFit="1" customWidth="1" min="63" max="63"/>
    <col width="8.28515625" bestFit="1" customWidth="1" min="64" max="64"/>
    <col width="6.140625" bestFit="1" customWidth="1" min="65" max="65"/>
    <col width="9.85546875" bestFit="1" customWidth="1" min="66" max="66"/>
    <col width="8.28515625" bestFit="1" customWidth="1" min="67" max="67"/>
    <col width="7.140625" bestFit="1" customWidth="1" min="68" max="68"/>
    <col width="9.85546875" bestFit="1" customWidth="1" min="69" max="69"/>
    <col width="8.28515625" bestFit="1" customWidth="1" min="70" max="70"/>
    <col width="6.28515625" bestFit="1" customWidth="1" min="71" max="71"/>
    <col width="9.85546875" bestFit="1" customWidth="1" min="72" max="72"/>
    <col width="8.28515625" bestFit="1" customWidth="1" min="73" max="73"/>
    <col width="7.42578125" bestFit="1" customWidth="1" min="74" max="74"/>
    <col width="9.85546875" bestFit="1" customWidth="1" min="75" max="75"/>
    <col width="8.28515625" bestFit="1" customWidth="1" min="76" max="76"/>
    <col width="6.42578125" bestFit="1" customWidth="1" min="77" max="77"/>
    <col width="9.85546875" bestFit="1" customWidth="1" min="78" max="78"/>
    <col width="8.28515625" bestFit="1" customWidth="1" min="79" max="79"/>
    <col width="6.42578125" bestFit="1" customWidth="1" min="80" max="80"/>
    <col width="9.85546875" bestFit="1" customWidth="1" min="81" max="81"/>
    <col width="6.42578125" bestFit="1" customWidth="1" min="82" max="82"/>
  </cols>
  <sheetData>
    <row r="1">
      <c r="A1" s="33" t="inlineStr">
        <is>
          <t>ИНН</t>
        </is>
      </c>
      <c r="B1" s="33">
        <f>Реестр!#REF!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Реестр!#REF!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>
      <c r="A3" s="33" t="inlineStr">
        <is>
          <t>Арендатор</t>
        </is>
      </c>
      <c r="B3" s="34">
        <f>Реестр!#REF!</f>
        <v/>
      </c>
      <c r="C3" s="20" t="inlineStr">
        <is>
          <t>Электричество</t>
        </is>
      </c>
      <c r="D3" s="21" t="n"/>
      <c r="E3" s="21" t="n"/>
      <c r="F3" s="22">
        <f>E3-D3</f>
        <v/>
      </c>
      <c r="G3" s="23">
        <f>F3*G4</f>
        <v/>
      </c>
      <c r="H3" s="21" t="n"/>
      <c r="I3" s="22">
        <f>H3-E3</f>
        <v/>
      </c>
      <c r="J3" s="23">
        <f>I3*J4</f>
        <v/>
      </c>
      <c r="K3" s="21" t="n"/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>
      <c r="A4" s="33" t="inlineStr">
        <is>
          <t>Площадь</t>
        </is>
      </c>
      <c r="B4" s="34">
        <f>Реестр!#REF!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'0. ГИРА'!G4</f>
        <v/>
      </c>
      <c r="H4" s="24" t="n"/>
      <c r="I4" s="24" t="n"/>
      <c r="J4" s="25">
        <f>'0. ГИРА'!J4</f>
        <v/>
      </c>
      <c r="K4" s="24" t="n"/>
      <c r="L4" s="24" t="n"/>
      <c r="M4" s="25">
        <f>'0.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'0. ГИРА'!S4</f>
        <v/>
      </c>
      <c r="T4" s="24" t="n"/>
      <c r="U4" s="24" t="n"/>
      <c r="V4" s="25">
        <f>'0. ГИРА'!V4</f>
        <v/>
      </c>
      <c r="W4" s="24" t="n"/>
      <c r="X4" s="24" t="n"/>
      <c r="Y4" s="25">
        <f>'0. ГИРА'!Y4</f>
        <v/>
      </c>
      <c r="Z4" s="24" t="n"/>
      <c r="AA4" s="24" t="n"/>
      <c r="AB4" s="25">
        <f>'0. ГИРА'!AB4</f>
        <v/>
      </c>
      <c r="AC4" s="24" t="n"/>
      <c r="AD4" s="24" t="n"/>
      <c r="AE4" s="25">
        <f>'0. ГИРА'!AE4</f>
        <v/>
      </c>
      <c r="AF4" s="24" t="n"/>
      <c r="AG4" s="24" t="n"/>
      <c r="AH4" s="25">
        <f>'0. ГИРА'!AH4</f>
        <v/>
      </c>
      <c r="AI4" s="24" t="n"/>
      <c r="AJ4" s="24" t="n"/>
      <c r="AK4" s="25">
        <f>'0. ГИРА'!AK4</f>
        <v/>
      </c>
      <c r="AL4" s="24" t="n"/>
      <c r="AM4" s="24" t="n"/>
      <c r="AN4" s="25">
        <f>'0. ГИРА'!AN4</f>
        <v/>
      </c>
      <c r="AO4" s="24" t="n"/>
      <c r="AP4" s="24" t="n"/>
      <c r="AQ4" s="25">
        <f>'0. ГИРА'!AQ4</f>
        <v/>
      </c>
      <c r="AR4" s="24" t="n"/>
      <c r="AS4" s="24" t="n"/>
      <c r="AT4" s="25">
        <f>'0. ГИРА'!AT4</f>
        <v/>
      </c>
      <c r="AU4" s="24" t="n"/>
      <c r="AV4" s="24" t="n"/>
      <c r="AW4" s="25">
        <f>'0. ГИРА'!AW4</f>
        <v/>
      </c>
      <c r="AX4" s="24" t="n"/>
      <c r="AY4" s="24" t="n"/>
      <c r="AZ4" s="25">
        <f>'0. ГИРА'!AZ4</f>
        <v/>
      </c>
      <c r="BA4" s="24" t="n"/>
      <c r="BB4" s="24" t="n"/>
      <c r="BC4" s="25">
        <f>'0. ГИРА'!BC4</f>
        <v/>
      </c>
      <c r="BD4" s="24" t="n"/>
      <c r="BE4" s="24" t="n"/>
      <c r="BF4" s="25">
        <f>'0. ГИРА'!BF4</f>
        <v/>
      </c>
      <c r="BG4" s="24" t="n"/>
      <c r="BH4" s="24" t="n"/>
      <c r="BI4" s="25">
        <f>'0. ГИРА'!BI4</f>
        <v/>
      </c>
      <c r="BJ4" s="24" t="n"/>
      <c r="BK4" s="24" t="n"/>
      <c r="BL4" s="25">
        <f>'0. ГИРА'!BL4</f>
        <v/>
      </c>
      <c r="BM4" s="24" t="n"/>
      <c r="BN4" s="24" t="n"/>
      <c r="BO4" s="25">
        <f>'0. ГИРА'!BO4</f>
        <v/>
      </c>
      <c r="BP4" s="24" t="n"/>
      <c r="BQ4" s="24" t="n"/>
      <c r="BR4" s="25">
        <f>'0. ГИРА'!BR4</f>
        <v/>
      </c>
      <c r="BS4" s="24" t="n"/>
      <c r="BT4" s="24" t="n"/>
      <c r="BU4" s="25">
        <f>'0. ГИРА'!BU4</f>
        <v/>
      </c>
      <c r="BV4" s="24" t="n"/>
      <c r="BW4" s="24" t="n"/>
      <c r="BX4" s="25">
        <f>'0. ГИРА'!BX4</f>
        <v/>
      </c>
      <c r="BY4" s="24" t="n"/>
      <c r="BZ4" s="24" t="n"/>
      <c r="CA4" s="25">
        <f>'0. ГИРА'!CA4</f>
        <v/>
      </c>
      <c r="CB4" s="24" t="n"/>
      <c r="CC4" s="24" t="n"/>
      <c r="CD4" s="25">
        <f>'0. ГИРА'!CD4</f>
        <v/>
      </c>
    </row>
    <row r="5" ht="30" customHeight="1">
      <c r="A5" s="36" t="n"/>
      <c r="B5" s="36" t="n"/>
      <c r="C5" s="30" t="inlineStr">
        <is>
          <t>Водоканал холодная вода</t>
        </is>
      </c>
      <c r="D5" s="21" t="n"/>
      <c r="E5" s="21" t="n"/>
      <c r="F5" s="22">
        <f>E5-D5</f>
        <v/>
      </c>
      <c r="G5" s="23" t="n"/>
      <c r="H5" s="21" t="n">
        <v>22222</v>
      </c>
      <c r="I5" s="22">
        <f>H5-E5</f>
        <v/>
      </c>
      <c r="J5" s="23" t="n"/>
      <c r="K5" s="21" t="n"/>
      <c r="L5" s="22">
        <f>K5-H5</f>
        <v/>
      </c>
      <c r="M5" s="23" t="n"/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30" customHeight="1">
      <c r="A6" s="37" t="inlineStr">
        <is>
          <t>Имя 1</t>
        </is>
      </c>
      <c r="B6" s="34">
        <f>Реестр!#REF!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'0. ГИРА'!G6</f>
        <v/>
      </c>
      <c r="H6" s="24" t="n"/>
      <c r="I6" s="24" t="n"/>
      <c r="J6" s="25">
        <f>'0. ГИРА'!J6</f>
        <v/>
      </c>
      <c r="K6" s="24" t="n"/>
      <c r="L6" s="24" t="n"/>
      <c r="M6" s="25">
        <f>'0.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'0. ГИРА'!S6</f>
        <v/>
      </c>
      <c r="T6" s="24" t="n"/>
      <c r="U6" s="24" t="n"/>
      <c r="V6" s="25">
        <f>'0. ГИРА'!V6</f>
        <v/>
      </c>
      <c r="W6" s="24" t="n"/>
      <c r="X6" s="24" t="n"/>
      <c r="Y6" s="25">
        <f>'0. ГИРА'!Y6</f>
        <v/>
      </c>
      <c r="Z6" s="24" t="n"/>
      <c r="AA6" s="24" t="n"/>
      <c r="AB6" s="25">
        <f>'0. ГИРА'!AB6</f>
        <v/>
      </c>
      <c r="AC6" s="24" t="n"/>
      <c r="AD6" s="24" t="n"/>
      <c r="AE6" s="25">
        <f>'0. ГИРА'!AE6</f>
        <v/>
      </c>
      <c r="AF6" s="24" t="n"/>
      <c r="AG6" s="24" t="n"/>
      <c r="AH6" s="25">
        <f>'0. ГИРА'!AH6</f>
        <v/>
      </c>
      <c r="AI6" s="24" t="n"/>
      <c r="AJ6" s="24" t="n"/>
      <c r="AK6" s="25">
        <f>'0. ГИРА'!AK6</f>
        <v/>
      </c>
      <c r="AL6" s="24" t="n"/>
      <c r="AM6" s="24" t="n"/>
      <c r="AN6" s="25">
        <f>'0. ГИРА'!AN6</f>
        <v/>
      </c>
      <c r="AO6" s="24" t="n"/>
      <c r="AP6" s="24" t="n"/>
      <c r="AQ6" s="25">
        <f>'0. ГИРА'!AQ6</f>
        <v/>
      </c>
      <c r="AR6" s="24" t="n"/>
      <c r="AS6" s="24" t="n"/>
      <c r="AT6" s="25">
        <f>'0. ГИРА'!AT6</f>
        <v/>
      </c>
      <c r="AU6" s="24" t="n"/>
      <c r="AV6" s="24" t="n"/>
      <c r="AW6" s="25">
        <f>'0. ГИРА'!AW6</f>
        <v/>
      </c>
      <c r="AX6" s="24" t="n"/>
      <c r="AY6" s="24" t="n"/>
      <c r="AZ6" s="25">
        <f>'0. ГИРА'!AZ6</f>
        <v/>
      </c>
      <c r="BA6" s="24" t="n"/>
      <c r="BB6" s="24" t="n"/>
      <c r="BC6" s="25">
        <f>'0. ГИРА'!BC6</f>
        <v/>
      </c>
      <c r="BD6" s="24" t="n"/>
      <c r="BE6" s="24" t="n"/>
      <c r="BF6" s="25">
        <f>'0. ГИРА'!BF6</f>
        <v/>
      </c>
      <c r="BG6" s="24" t="n"/>
      <c r="BH6" s="24" t="n"/>
      <c r="BI6" s="25">
        <f>'0. ГИРА'!BI6</f>
        <v/>
      </c>
      <c r="BJ6" s="24" t="n"/>
      <c r="BK6" s="24" t="n"/>
      <c r="BL6" s="25">
        <f>'0. ГИРА'!BL6</f>
        <v/>
      </c>
      <c r="BM6" s="24" t="n"/>
      <c r="BN6" s="24" t="n"/>
      <c r="BO6" s="25">
        <f>'0. ГИРА'!BO6</f>
        <v/>
      </c>
      <c r="BP6" s="24" t="n"/>
      <c r="BQ6" s="24" t="n"/>
      <c r="BR6" s="25">
        <f>'0. ГИРА'!BR6</f>
        <v/>
      </c>
      <c r="BS6" s="24" t="n"/>
      <c r="BT6" s="24" t="n"/>
      <c r="BU6" s="25">
        <f>'0. ГИРА'!BU6</f>
        <v/>
      </c>
      <c r="BV6" s="24" t="n"/>
      <c r="BW6" s="24" t="n"/>
      <c r="BX6" s="25">
        <f>'0. ГИРА'!BX6</f>
        <v/>
      </c>
      <c r="BY6" s="24" t="n"/>
      <c r="BZ6" s="24" t="n"/>
      <c r="CA6" s="25">
        <f>'0. ГИРА'!CA6</f>
        <v/>
      </c>
      <c r="CB6" s="24" t="n"/>
      <c r="CC6" s="24" t="n"/>
      <c r="CD6" s="25">
        <f>'0. ГИРА'!CD6</f>
        <v/>
      </c>
    </row>
    <row r="7">
      <c r="A7" s="38" t="inlineStr">
        <is>
          <t>Контакт 1</t>
        </is>
      </c>
      <c r="B7" s="33">
        <f>Реестр!#REF!</f>
        <v/>
      </c>
      <c r="C7" s="30" t="inlineStr">
        <is>
          <t>Водоканал горячая вода</t>
        </is>
      </c>
      <c r="D7" s="67" t="n"/>
      <c r="E7" s="67" t="n"/>
      <c r="F7" s="68">
        <f>E7-D7</f>
        <v/>
      </c>
      <c r="G7" s="69">
        <f>G8*F7</f>
        <v/>
      </c>
      <c r="H7" s="67" t="n"/>
      <c r="I7" s="22">
        <f>H7-E7</f>
        <v/>
      </c>
      <c r="J7" s="69">
        <f>J8*I7</f>
        <v/>
      </c>
      <c r="K7" s="67" t="n"/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>
      <c r="A8" s="37" t="inlineStr">
        <is>
          <t>Имя 2</t>
        </is>
      </c>
      <c r="B8" s="33">
        <f>Реестр!#REF!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'0. ГИРА'!G8</f>
        <v/>
      </c>
      <c r="H8" s="70" t="n"/>
      <c r="I8" s="70" t="n"/>
      <c r="J8" s="71">
        <f>'0. ГИРА'!J8</f>
        <v/>
      </c>
      <c r="K8" s="70" t="n"/>
      <c r="L8" s="70" t="n"/>
      <c r="M8" s="71">
        <f>'0.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'0. ГИРА'!S8</f>
        <v/>
      </c>
      <c r="T8" s="70" t="n"/>
      <c r="U8" s="70" t="n"/>
      <c r="V8" s="71">
        <f>'0. ГИРА'!V8</f>
        <v/>
      </c>
      <c r="W8" s="70" t="n"/>
      <c r="X8" s="70" t="n"/>
      <c r="Y8" s="71">
        <f>'0. ГИРА'!Y8</f>
        <v/>
      </c>
      <c r="Z8" s="70" t="n"/>
      <c r="AA8" s="70" t="n"/>
      <c r="AB8" s="71">
        <f>'0. ГИРА'!AB8</f>
        <v/>
      </c>
      <c r="AC8" s="70" t="n"/>
      <c r="AD8" s="70" t="n"/>
      <c r="AE8" s="71">
        <f>'0. ГИРА'!AE8</f>
        <v/>
      </c>
      <c r="AF8" s="70" t="n"/>
      <c r="AG8" s="70" t="n"/>
      <c r="AH8" s="71">
        <f>'0. ГИРА'!AH8</f>
        <v/>
      </c>
      <c r="AI8" s="70" t="n"/>
      <c r="AJ8" s="70" t="n"/>
      <c r="AK8" s="71">
        <f>'0. ГИРА'!AK8</f>
        <v/>
      </c>
      <c r="AL8" s="70" t="n"/>
      <c r="AM8" s="70" t="n"/>
      <c r="AN8" s="71">
        <f>'0. ГИРА'!AN8</f>
        <v/>
      </c>
      <c r="AO8" s="70" t="n"/>
      <c r="AP8" s="70" t="n"/>
      <c r="AQ8" s="71">
        <f>'0. ГИРА'!AQ8</f>
        <v/>
      </c>
      <c r="AR8" s="70" t="n"/>
      <c r="AS8" s="70" t="n"/>
      <c r="AT8" s="71">
        <f>'0. ГИРА'!AT8</f>
        <v/>
      </c>
      <c r="AU8" s="70" t="n"/>
      <c r="AV8" s="70" t="n"/>
      <c r="AW8" s="71">
        <f>'0. ГИРА'!AW8</f>
        <v/>
      </c>
      <c r="AX8" s="70" t="n"/>
      <c r="AY8" s="70" t="n"/>
      <c r="AZ8" s="71">
        <f>'0. ГИРА'!AZ8</f>
        <v/>
      </c>
      <c r="BA8" s="70" t="n"/>
      <c r="BB8" s="70" t="n"/>
      <c r="BC8" s="71">
        <f>'0. ГИРА'!BC8</f>
        <v/>
      </c>
      <c r="BD8" s="70" t="n"/>
      <c r="BE8" s="70" t="n"/>
      <c r="BF8" s="71">
        <f>'0. ГИРА'!BF8</f>
        <v/>
      </c>
      <c r="BG8" s="70" t="n"/>
      <c r="BH8" s="70" t="n"/>
      <c r="BI8" s="71">
        <f>'0. ГИРА'!BI8</f>
        <v/>
      </c>
      <c r="BJ8" s="70" t="n"/>
      <c r="BK8" s="70" t="n"/>
      <c r="BL8" s="71">
        <f>'0. ГИРА'!BL8</f>
        <v/>
      </c>
      <c r="BM8" s="70" t="n"/>
      <c r="BN8" s="70" t="n"/>
      <c r="BO8" s="71">
        <f>'0. ГИРА'!BO8</f>
        <v/>
      </c>
      <c r="BP8" s="70" t="n"/>
      <c r="BQ8" s="70" t="n"/>
      <c r="BR8" s="71">
        <f>'0. ГИРА'!BR8</f>
        <v/>
      </c>
      <c r="BS8" s="70" t="n"/>
      <c r="BT8" s="70" t="n"/>
      <c r="BU8" s="71">
        <f>'0. ГИРА'!BU8</f>
        <v/>
      </c>
      <c r="BV8" s="70" t="n"/>
      <c r="BW8" s="70" t="n"/>
      <c r="BX8" s="71">
        <f>'0. ГИРА'!BX8</f>
        <v/>
      </c>
      <c r="BY8" s="70" t="n"/>
      <c r="BZ8" s="70" t="n"/>
      <c r="CA8" s="71">
        <f>'0. ГИРА'!CA8</f>
        <v/>
      </c>
      <c r="CB8" s="70" t="n"/>
      <c r="CC8" s="70" t="n"/>
      <c r="CD8" s="71">
        <f>'0. ГИРА'!CD8</f>
        <v/>
      </c>
    </row>
    <row r="9">
      <c r="A9" s="38" t="inlineStr">
        <is>
          <t>Контакт 2</t>
        </is>
      </c>
      <c r="B9" s="34">
        <f>Реестр!#REF!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G10*B3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M10*H3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>
      <c r="C10" s="20" t="inlineStr">
        <is>
          <t>Тепло тариф</t>
        </is>
      </c>
      <c r="D10" s="24" t="n"/>
      <c r="E10" s="24" t="n"/>
      <c r="F10" s="24" t="n"/>
      <c r="G10" s="25">
        <f>'0. ГИРА'!G10</f>
        <v/>
      </c>
      <c r="H10" s="24" t="n"/>
      <c r="I10" s="24" t="n"/>
      <c r="J10" s="25">
        <f>'0. ГИРА'!J10</f>
        <v/>
      </c>
      <c r="K10" s="24" t="n"/>
      <c r="L10" s="24" t="n"/>
      <c r="M10" s="25">
        <f>'0. ГИРА'!M10</f>
        <v/>
      </c>
      <c r="N10" s="24" t="n"/>
      <c r="O10" s="24" t="n"/>
      <c r="P10" s="25">
        <f>'0. ГИРА'!P10</f>
        <v/>
      </c>
      <c r="Q10" s="24" t="n"/>
      <c r="R10" s="24" t="n"/>
      <c r="S10" s="25">
        <f>'0. ГИРА'!S10</f>
        <v/>
      </c>
      <c r="T10" s="24" t="n"/>
      <c r="U10" s="24" t="n"/>
      <c r="V10" s="25">
        <f>'0. ГИРА'!V10</f>
        <v/>
      </c>
      <c r="W10" s="24" t="n"/>
      <c r="X10" s="24" t="n"/>
      <c r="Y10" s="25">
        <f>'0. ГИРА'!Y10</f>
        <v/>
      </c>
      <c r="Z10" s="24" t="n"/>
      <c r="AA10" s="24" t="n"/>
      <c r="AB10" s="25">
        <f>'0. ГИРА'!AB10</f>
        <v/>
      </c>
      <c r="AC10" s="24" t="n"/>
      <c r="AD10" s="24" t="n"/>
      <c r="AE10" s="25">
        <f>'0. ГИРА'!AE10</f>
        <v/>
      </c>
      <c r="AF10" s="24" t="n"/>
      <c r="AG10" s="24" t="n"/>
      <c r="AH10" s="25">
        <f>'0. ГИРА'!AH10</f>
        <v/>
      </c>
      <c r="AI10" s="24" t="n"/>
      <c r="AJ10" s="24" t="n"/>
      <c r="AK10" s="25">
        <f>'0. ГИРА'!AK10</f>
        <v/>
      </c>
      <c r="AL10" s="24" t="n"/>
      <c r="AM10" s="24" t="n"/>
      <c r="AN10" s="25">
        <f>'0. ГИРА'!AN10</f>
        <v/>
      </c>
      <c r="AO10" s="24" t="n"/>
      <c r="AP10" s="24" t="n"/>
      <c r="AQ10" s="25">
        <f>'0. ГИРА'!AQ10</f>
        <v/>
      </c>
      <c r="AR10" s="24" t="n"/>
      <c r="AS10" s="24" t="n"/>
      <c r="AT10" s="25">
        <f>'0. ГИРА'!AT10</f>
        <v/>
      </c>
      <c r="AU10" s="24" t="n"/>
      <c r="AV10" s="24" t="n"/>
      <c r="AW10" s="25">
        <f>'0. ГИРА'!AW10</f>
        <v/>
      </c>
      <c r="AX10" s="24" t="n"/>
      <c r="AY10" s="24" t="n"/>
      <c r="AZ10" s="25">
        <f>'0. ГИРА'!AZ10</f>
        <v/>
      </c>
      <c r="BA10" s="24" t="n"/>
      <c r="BB10" s="24" t="n"/>
      <c r="BC10" s="25">
        <f>'0. ГИРА'!BC10</f>
        <v/>
      </c>
      <c r="BD10" s="24" t="n"/>
      <c r="BE10" s="24" t="n"/>
      <c r="BF10" s="25">
        <f>'0. ГИРА'!BF10</f>
        <v/>
      </c>
      <c r="BG10" s="24" t="n"/>
      <c r="BH10" s="24" t="n"/>
      <c r="BI10" s="25">
        <f>'0. ГИРА'!BI10</f>
        <v/>
      </c>
      <c r="BJ10" s="24" t="n"/>
      <c r="BK10" s="24" t="n"/>
      <c r="BL10" s="25">
        <f>'0. ГИРА'!BL10</f>
        <v/>
      </c>
      <c r="BM10" s="24" t="n"/>
      <c r="BN10" s="24" t="n"/>
      <c r="BO10" s="25">
        <f>'0. ГИРА'!BO10</f>
        <v/>
      </c>
      <c r="BP10" s="24" t="n"/>
      <c r="BQ10" s="24" t="n"/>
      <c r="BR10" s="25">
        <f>'0. ГИРА'!BR10</f>
        <v/>
      </c>
      <c r="BS10" s="24" t="n"/>
      <c r="BT10" s="24" t="n"/>
      <c r="BU10" s="25">
        <f>'0. ГИРА'!BU10</f>
        <v/>
      </c>
      <c r="BV10" s="24" t="n"/>
      <c r="BW10" s="24" t="n"/>
      <c r="BX10" s="25">
        <f>'0. ГИРА'!BX10</f>
        <v/>
      </c>
      <c r="BY10" s="24" t="n"/>
      <c r="BZ10" s="24" t="n"/>
      <c r="CA10" s="25">
        <f>'0. ГИРА'!CA10</f>
        <v/>
      </c>
      <c r="CB10" s="24" t="n"/>
      <c r="CC10" s="24" t="n"/>
      <c r="CD10" s="25">
        <f>'0. ГИРА'!CD10</f>
        <v/>
      </c>
    </row>
    <row r="11">
      <c r="A11" s="33" t="inlineStr">
        <is>
          <t>Номер счетчика</t>
        </is>
      </c>
      <c r="B11">
        <f>Реестр!#REF!</f>
        <v/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 t="n"/>
      <c r="H11" s="21" t="n"/>
      <c r="I11" s="22">
        <f>H11-E11</f>
        <v/>
      </c>
      <c r="J11" s="23">
        <f>J12*E3</f>
        <v/>
      </c>
      <c r="K11" s="21" t="n"/>
      <c r="L11" s="22">
        <f>K11-H11</f>
        <v/>
      </c>
      <c r="M11" s="23">
        <f>M12*H3</f>
        <v/>
      </c>
      <c r="N11" s="21" t="n"/>
      <c r="O11" s="22">
        <f>N11-K11</f>
        <v/>
      </c>
      <c r="P11" s="23">
        <f>P12*K3</f>
        <v/>
      </c>
      <c r="Q11" s="21" t="n"/>
      <c r="R11" s="22">
        <f>Q11-N11</f>
        <v/>
      </c>
      <c r="S11" s="23">
        <f>S12*N3</f>
        <v/>
      </c>
      <c r="T11" s="21" t="n"/>
      <c r="U11" s="22">
        <f>T11-Q11</f>
        <v/>
      </c>
      <c r="V11" s="23">
        <f>V12*Q3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'0. ГИРА'!G12</f>
        <v/>
      </c>
      <c r="H12" s="24" t="n"/>
      <c r="I12" s="24" t="n"/>
      <c r="J12" s="25">
        <f>'0. ГИРА'!J12</f>
        <v/>
      </c>
      <c r="K12" s="24" t="n"/>
      <c r="L12" s="24" t="n"/>
      <c r="M12" s="25">
        <f>'0. ГИРА'!M12</f>
        <v/>
      </c>
      <c r="N12" s="24" t="n"/>
      <c r="O12" s="24" t="n"/>
      <c r="P12" s="25">
        <f>'0. ГИРА'!P12</f>
        <v/>
      </c>
      <c r="Q12" s="24" t="n"/>
      <c r="R12" s="24" t="n"/>
      <c r="S12" s="25">
        <f>'0. ГИРА'!S12</f>
        <v/>
      </c>
      <c r="T12" s="24" t="n"/>
      <c r="U12" s="24" t="n"/>
      <c r="V12" s="25">
        <f>'0. ГИРА'!V12</f>
        <v/>
      </c>
      <c r="W12" s="24" t="n"/>
      <c r="X12" s="24" t="n"/>
      <c r="Y12" s="25">
        <f>'0. ГИРА'!Y12</f>
        <v/>
      </c>
      <c r="Z12" s="24" t="n"/>
      <c r="AA12" s="24" t="n"/>
      <c r="AB12" s="25">
        <f>'0. ГИРА'!AB12</f>
        <v/>
      </c>
      <c r="AC12" s="24" t="n"/>
      <c r="AD12" s="24" t="n"/>
      <c r="AE12" s="25">
        <f>'0. ГИРА'!AE12</f>
        <v/>
      </c>
      <c r="AF12" s="24" t="n"/>
      <c r="AG12" s="24" t="n"/>
      <c r="AH12" s="25">
        <f>'0. ГИРА'!AH12</f>
        <v/>
      </c>
      <c r="AI12" s="24" t="n"/>
      <c r="AJ12" s="24" t="n"/>
      <c r="AK12" s="25">
        <f>'0. ГИРА'!AK12</f>
        <v/>
      </c>
      <c r="AL12" s="24" t="n"/>
      <c r="AM12" s="24" t="n"/>
      <c r="AN12" s="25">
        <f>'0. ГИРА'!AN12</f>
        <v/>
      </c>
      <c r="AO12" s="24" t="n"/>
      <c r="AP12" s="24" t="n"/>
      <c r="AQ12" s="25">
        <f>'0. ГИРА'!AQ12</f>
        <v/>
      </c>
      <c r="AR12" s="24" t="n"/>
      <c r="AS12" s="24" t="n"/>
      <c r="AT12" s="25">
        <f>'0. ГИРА'!AT12</f>
        <v/>
      </c>
      <c r="AU12" s="24" t="n"/>
      <c r="AV12" s="24" t="n"/>
      <c r="AW12" s="25">
        <f>'0. ГИРА'!AW12</f>
        <v/>
      </c>
      <c r="AX12" s="24" t="n"/>
      <c r="AY12" s="24" t="n"/>
      <c r="AZ12" s="25">
        <f>'0. ГИРА'!AZ12</f>
        <v/>
      </c>
      <c r="BA12" s="24" t="n"/>
      <c r="BB12" s="24" t="n"/>
      <c r="BC12" s="25">
        <f>'0. ГИРА'!BC12</f>
        <v/>
      </c>
      <c r="BD12" s="24" t="n"/>
      <c r="BE12" s="24" t="n"/>
      <c r="BF12" s="25">
        <f>'0. ГИРА'!BF12</f>
        <v/>
      </c>
      <c r="BG12" s="24" t="n"/>
      <c r="BH12" s="24" t="n"/>
      <c r="BI12" s="25">
        <f>'0. ГИРА'!BI12</f>
        <v/>
      </c>
      <c r="BJ12" s="24" t="n"/>
      <c r="BK12" s="24" t="n"/>
      <c r="BL12" s="25">
        <f>'0. ГИРА'!BL12</f>
        <v/>
      </c>
      <c r="BM12" s="24" t="n"/>
      <c r="BN12" s="24" t="n"/>
      <c r="BO12" s="25">
        <f>'0. ГИРА'!BO12</f>
        <v/>
      </c>
      <c r="BP12" s="24" t="n"/>
      <c r="BQ12" s="24" t="n"/>
      <c r="BR12" s="25">
        <f>'0. ГИРА'!BR12</f>
        <v/>
      </c>
      <c r="BS12" s="24" t="n"/>
      <c r="BT12" s="24" t="n"/>
      <c r="BU12" s="25">
        <f>'0. ГИРА'!BU12</f>
        <v/>
      </c>
      <c r="BV12" s="24" t="n"/>
      <c r="BW12" s="24" t="n"/>
      <c r="BX12" s="25">
        <f>'0. ГИРА'!BX12</f>
        <v/>
      </c>
      <c r="BY12" s="24" t="n"/>
      <c r="BZ12" s="24" t="n"/>
      <c r="CA12" s="25">
        <f>'0. ГИРА'!CA12</f>
        <v/>
      </c>
      <c r="CB12" s="24" t="n"/>
      <c r="CC12" s="24" t="n"/>
      <c r="CD12" s="25">
        <f>'0. ГИРА'!CD12</f>
        <v/>
      </c>
    </row>
    <row r="13">
      <c r="D13" s="14" t="n"/>
      <c r="E13" s="14" t="n"/>
      <c r="F13" s="15" t="n"/>
      <c r="G13" s="16" t="n"/>
    </row>
    <row r="14">
      <c r="G14" s="16" t="n"/>
    </row>
    <row r="15">
      <c r="G15" s="16" t="n"/>
    </row>
    <row r="16">
      <c r="G16" s="16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3"/>
  <sheetViews>
    <sheetView zoomScale="125" zoomScaleNormal="100" workbookViewId="0">
      <selection activeCell="D9" sqref="D9"/>
    </sheetView>
  </sheetViews>
  <sheetFormatPr baseColWidth="8" defaultColWidth="11.42578125" defaultRowHeight="15"/>
  <cols>
    <col width="13.85546875" customWidth="1" min="1" max="1"/>
    <col width="10.85546875" customWidth="1" min="2" max="3"/>
    <col width="14.140625" customWidth="1" min="4" max="4"/>
    <col width="12.7109375" customWidth="1" min="5" max="5"/>
    <col width="23.42578125" customWidth="1" min="6" max="6"/>
    <col width="17.85546875" customWidth="1" min="7" max="7"/>
    <col width="10.28515625" customWidth="1" min="8" max="9"/>
    <col width="13.85546875" customWidth="1" min="10" max="10"/>
    <col width="14.85546875" customWidth="1" min="12" max="12"/>
    <col width="13.28515625" customWidth="1" min="14" max="14"/>
    <col width="7.140625" customWidth="1" min="15" max="15"/>
    <col width="12.140625" customWidth="1" min="16" max="16"/>
    <col width="18.28515625" customWidth="1" min="17" max="18"/>
    <col width="14" customWidth="1" min="20" max="20"/>
  </cols>
  <sheetData>
    <row r="1" ht="18.95" customHeight="1">
      <c r="A1" s="33" t="inlineStr">
        <is>
          <t>Договор</t>
        </is>
      </c>
      <c r="B1" s="33" t="inlineStr">
        <is>
          <t>Кадастр</t>
        </is>
      </c>
      <c r="C1" s="33" t="inlineStr">
        <is>
          <t>Помещение</t>
        </is>
      </c>
      <c r="D1" s="33" t="inlineStr">
        <is>
          <t>ИНН</t>
        </is>
      </c>
      <c r="E1" s="33" t="inlineStr">
        <is>
          <t>Форма бизнеса</t>
        </is>
      </c>
      <c r="F1" s="33" t="inlineStr">
        <is>
          <t>Арендатор</t>
        </is>
      </c>
      <c r="G1" s="33" t="inlineStr">
        <is>
          <t>Вид деятельности</t>
        </is>
      </c>
      <c r="H1" s="33" t="inlineStr">
        <is>
          <t>Площадь</t>
        </is>
      </c>
      <c r="I1" s="33" t="inlineStr">
        <is>
          <t>Листы</t>
        </is>
      </c>
      <c r="J1" s="33" t="inlineStr">
        <is>
          <t>Номер счетчика</t>
        </is>
      </c>
      <c r="K1" s="32" t="inlineStr">
        <is>
          <t>Акт п/п</t>
        </is>
      </c>
      <c r="L1" s="32" t="inlineStr">
        <is>
          <t>Счет</t>
        </is>
      </c>
      <c r="M1" s="37" t="inlineStr">
        <is>
          <t>Имя 1</t>
        </is>
      </c>
      <c r="N1" s="38" t="inlineStr">
        <is>
          <t>Контакт 1</t>
        </is>
      </c>
      <c r="O1" s="37" t="inlineStr">
        <is>
          <t>Имя 2</t>
        </is>
      </c>
      <c r="P1" s="38" t="inlineStr">
        <is>
          <t>Контакт 2</t>
        </is>
      </c>
      <c r="Q1" s="38" t="inlineStr">
        <is>
          <t>Собственник</t>
        </is>
      </c>
      <c r="R1" s="77" t="inlineStr">
        <is>
          <t>Фамилия</t>
        </is>
      </c>
      <c r="S1" s="77" t="inlineStr">
        <is>
          <t>Имя</t>
        </is>
      </c>
      <c r="T1" s="77" t="inlineStr">
        <is>
          <t>Отчество</t>
        </is>
      </c>
      <c r="V1" s="82" t="inlineStr">
        <is>
          <t>Срок аренды</t>
        </is>
      </c>
    </row>
    <row r="2">
      <c r="A2" s="39" t="inlineStr">
        <is>
          <t>№99 12.02.2024</t>
        </is>
      </c>
      <c r="B2" s="40" t="inlineStr">
        <is>
          <t>1006:3090</t>
        </is>
      </c>
      <c r="C2" s="17" t="n"/>
      <c r="D2" s="17" t="n">
        <v>444</v>
      </c>
      <c r="E2" s="17" t="inlineStr">
        <is>
          <t>ИП</t>
        </is>
      </c>
      <c r="F2" s="17" t="inlineStr">
        <is>
          <t>Гареева А.В.</t>
        </is>
      </c>
      <c r="G2" s="17" t="inlineStr">
        <is>
          <t>Магазин обоев</t>
        </is>
      </c>
      <c r="H2" s="26" t="n">
        <v>123.4</v>
      </c>
      <c r="I2" s="26" t="inlineStr">
        <is>
          <t>К123,40</t>
        </is>
      </c>
      <c r="J2" s="26" t="n"/>
      <c r="K2" s="39" t="n">
        <v>45367</v>
      </c>
      <c r="L2" t="n">
        <v>767600</v>
      </c>
      <c r="M2" s="41" t="inlineStr">
        <is>
          <t xml:space="preserve">Альфия    </t>
        </is>
      </c>
      <c r="N2" s="17" t="n">
        <v>89503228511</v>
      </c>
      <c r="O2" s="17" t="inlineStr">
        <is>
          <t>Карина</t>
        </is>
      </c>
      <c r="P2" s="17" t="n">
        <v>89372840305</v>
      </c>
      <c r="Q2" s="78" t="inlineStr">
        <is>
          <t>ООО ГИРА</t>
        </is>
      </c>
      <c r="R2" s="2" t="inlineStr">
        <is>
          <t>тестов</t>
        </is>
      </c>
      <c r="S2" s="2" t="inlineStr">
        <is>
          <t>тест</t>
        </is>
      </c>
      <c r="T2" s="2" t="inlineStr">
        <is>
          <t>тестович</t>
        </is>
      </c>
    </row>
    <row r="3" ht="15.75" customHeight="1">
      <c r="A3" s="39" t="inlineStr">
        <is>
          <t>№11 07.02.2025</t>
        </is>
      </c>
      <c r="B3" s="40" t="inlineStr">
        <is>
          <t>1006:3090</t>
        </is>
      </c>
      <c r="C3" s="17" t="n"/>
      <c r="D3" s="17" t="n">
        <v>111</v>
      </c>
      <c r="E3" s="17" t="inlineStr">
        <is>
          <t>ИП</t>
        </is>
      </c>
      <c r="F3" s="65" t="inlineStr">
        <is>
          <t xml:space="preserve"> Гарипов И.К.</t>
        </is>
      </c>
      <c r="G3" s="17" t="inlineStr">
        <is>
          <t>памятнки</t>
        </is>
      </c>
      <c r="H3" s="26" t="n">
        <v>102.6</v>
      </c>
      <c r="I3" s="26" t="inlineStr">
        <is>
          <t>К102,60</t>
        </is>
      </c>
      <c r="J3" s="26" t="n"/>
      <c r="K3" s="39" t="n">
        <v>45362</v>
      </c>
      <c r="L3" t="n">
        <v>50000</v>
      </c>
      <c r="M3" s="41" t="inlineStr">
        <is>
          <t xml:space="preserve">Ильнар </t>
        </is>
      </c>
      <c r="N3" s="17" t="n">
        <v>89053164414</v>
      </c>
      <c r="O3" s="17" t="inlineStr">
        <is>
          <t>-</t>
        </is>
      </c>
      <c r="P3" s="17" t="inlineStr">
        <is>
          <t>-</t>
        </is>
      </c>
      <c r="Q3" s="78" t="inlineStr">
        <is>
          <t>ООО ГИРА</t>
        </is>
      </c>
      <c r="R3" s="2" t="inlineStr">
        <is>
          <t>понов</t>
        </is>
      </c>
      <c r="S3" s="2" t="inlineStr">
        <is>
          <t>пон</t>
        </is>
      </c>
      <c r="T3" s="2" t="inlineStr">
        <is>
          <t>понович</t>
        </is>
      </c>
    </row>
    <row r="4">
      <c r="A4" s="42" t="inlineStr">
        <is>
          <t>№56 02.02.2025</t>
        </is>
      </c>
      <c r="B4" s="40" t="inlineStr">
        <is>
          <t>1006:3090</t>
        </is>
      </c>
      <c r="C4" s="17" t="n"/>
      <c r="D4" s="17" t="n">
        <v>333</v>
      </c>
      <c r="E4" s="17" t="inlineStr">
        <is>
          <t>ООО</t>
        </is>
      </c>
      <c r="F4" s="35" t="inlineStr">
        <is>
          <t>Нал</t>
        </is>
      </c>
      <c r="G4" s="40" t="inlineStr">
        <is>
          <t>Врач</t>
        </is>
      </c>
      <c r="H4" s="43" t="n">
        <v>45.2</v>
      </c>
      <c r="I4" s="43" t="inlineStr">
        <is>
          <t>К45,20</t>
        </is>
      </c>
      <c r="J4" s="43" t="n"/>
      <c r="K4" s="76" t="n">
        <v>44631</v>
      </c>
      <c r="L4" t="n">
        <v>60000</v>
      </c>
      <c r="M4" s="17" t="inlineStr">
        <is>
          <t>-</t>
        </is>
      </c>
      <c r="N4" s="17" t="inlineStr">
        <is>
          <t>-</t>
        </is>
      </c>
      <c r="O4" s="17" t="inlineStr">
        <is>
          <t>-</t>
        </is>
      </c>
      <c r="P4" s="17" t="inlineStr">
        <is>
          <t>-</t>
        </is>
      </c>
      <c r="Q4" s="79" t="inlineStr">
        <is>
          <t>ООО ГИРА</t>
        </is>
      </c>
      <c r="R4" s="2" t="inlineStr">
        <is>
          <t>Крихтин</t>
        </is>
      </c>
      <c r="S4" s="2" t="inlineStr">
        <is>
          <t>Кирилл</t>
        </is>
      </c>
      <c r="T4" s="2" t="inlineStr">
        <is>
          <t>Валентинович</t>
        </is>
      </c>
    </row>
    <row r="5">
      <c r="A5" s="42" t="inlineStr">
        <is>
          <t>№1 27.11.2025</t>
        </is>
      </c>
      <c r="B5" s="40" t="inlineStr">
        <is>
          <t>1006:3090</t>
        </is>
      </c>
      <c r="C5" s="17" t="n"/>
      <c r="D5" s="17" t="n">
        <v>555</v>
      </c>
      <c r="E5" s="17" t="inlineStr">
        <is>
          <t>ООО</t>
        </is>
      </c>
      <c r="F5" s="35" t="inlineStr">
        <is>
          <t>Мясоо</t>
        </is>
      </c>
      <c r="G5" s="40" t="inlineStr">
        <is>
          <t>Мясная</t>
        </is>
      </c>
      <c r="H5" s="43" t="n">
        <v>43.3</v>
      </c>
      <c r="I5" s="43" t="inlineStr">
        <is>
          <t>К43,30</t>
        </is>
      </c>
      <c r="J5" s="43" t="n"/>
      <c r="K5" s="39" t="n">
        <v>45333</v>
      </c>
      <c r="L5" s="17" t="n">
        <v>100000</v>
      </c>
      <c r="M5" s="17" t="inlineStr">
        <is>
          <t>-</t>
        </is>
      </c>
      <c r="N5" s="17" t="inlineStr">
        <is>
          <t>-</t>
        </is>
      </c>
      <c r="O5" s="17" t="inlineStr">
        <is>
          <t>-</t>
        </is>
      </c>
      <c r="P5" s="17" t="inlineStr">
        <is>
          <t>-</t>
        </is>
      </c>
      <c r="Q5" s="79" t="inlineStr">
        <is>
          <t>ООО ГИРА</t>
        </is>
      </c>
      <c r="R5" s="2" t="n"/>
      <c r="S5" s="2" t="n"/>
      <c r="T5" s="2" t="n"/>
    </row>
    <row r="6">
      <c r="A6" s="39" t="inlineStr">
        <is>
          <t>№73 27.11.2023</t>
        </is>
      </c>
      <c r="B6" s="40" t="inlineStr">
        <is>
          <t>1006:3090</t>
        </is>
      </c>
      <c r="C6" s="17" t="n"/>
      <c r="D6" s="17" t="n">
        <v>222</v>
      </c>
      <c r="E6" s="17" t="inlineStr">
        <is>
          <t>ИП</t>
        </is>
      </c>
      <c r="F6" s="17" t="inlineStr">
        <is>
          <t>Галяутдинова Н.А.</t>
        </is>
      </c>
      <c r="G6" s="17" t="inlineStr">
        <is>
          <t>Шоурум одежды</t>
        </is>
      </c>
      <c r="H6" s="26" t="n">
        <v>36</v>
      </c>
      <c r="I6" s="26" t="inlineStr">
        <is>
          <t>К36,00</t>
        </is>
      </c>
      <c r="J6" s="26" t="n"/>
      <c r="K6" s="39" t="n">
        <v>45275</v>
      </c>
      <c r="L6" s="17" t="n">
        <v>59998</v>
      </c>
      <c r="M6" s="41" t="inlineStr">
        <is>
          <t xml:space="preserve">Наталья </t>
        </is>
      </c>
      <c r="N6" s="17" t="n">
        <v>89655937317</v>
      </c>
      <c r="O6" s="17" t="inlineStr">
        <is>
          <t>-</t>
        </is>
      </c>
      <c r="P6" s="17" t="inlineStr">
        <is>
          <t>-</t>
        </is>
      </c>
      <c r="Q6" s="78" t="inlineStr">
        <is>
          <t>ИП Султанов Р.М</t>
        </is>
      </c>
      <c r="R6" s="2" t="n"/>
      <c r="S6" s="2" t="n"/>
      <c r="T6" s="2" t="n"/>
    </row>
    <row r="7">
      <c r="A7" s="39" t="inlineStr">
        <is>
          <t>№12 12.12.2000</t>
        </is>
      </c>
      <c r="B7" s="40" t="inlineStr">
        <is>
          <t>1006:3090</t>
        </is>
      </c>
      <c r="C7" s="17" t="n">
        <v>1</v>
      </c>
      <c r="D7" s="17" t="inlineStr">
        <is>
          <t>1111111111</t>
        </is>
      </c>
      <c r="E7" s="17" t="inlineStr">
        <is>
          <t>пввпа</t>
        </is>
      </c>
      <c r="F7" s="35" t="inlineStr">
        <is>
          <t>зож</t>
        </is>
      </c>
      <c r="G7" s="17" t="n">
        <v>8888</v>
      </c>
      <c r="H7" s="26" t="inlineStr">
        <is>
          <t>K8888.0</t>
        </is>
      </c>
      <c r="I7" s="26" t="inlineStr">
        <is>
          <t>К28,35</t>
        </is>
      </c>
      <c r="J7" s="26" t="n"/>
      <c r="K7" s="39" t="n">
        <v>36872</v>
      </c>
      <c r="L7" s="17" t="n">
        <v>89889</v>
      </c>
      <c r="M7" s="17" t="inlineStr">
        <is>
          <t>-</t>
        </is>
      </c>
      <c r="N7" s="17" t="inlineStr">
        <is>
          <t>89393374081</t>
        </is>
      </c>
      <c r="O7" s="17" t="inlineStr">
        <is>
          <t>-</t>
        </is>
      </c>
      <c r="P7" s="17" t="inlineStr">
        <is>
          <t>-</t>
        </is>
      </c>
      <c r="Q7" s="78" t="inlineStr">
        <is>
          <t>ООО ГИРА</t>
        </is>
      </c>
      <c r="R7" s="2" t="inlineStr">
        <is>
          <t>Шагиахметов</t>
        </is>
      </c>
      <c r="S7" s="2" t="inlineStr">
        <is>
          <t>Амин</t>
        </is>
      </c>
      <c r="T7" s="2" t="inlineStr">
        <is>
          <t>Айратович</t>
        </is>
      </c>
      <c r="V7" t="inlineStr">
        <is>
          <t>12.12.2044</t>
        </is>
      </c>
    </row>
    <row r="8">
      <c r="A8" t="inlineStr">
        <is>
          <t>№12 12.12.2026</t>
        </is>
      </c>
      <c r="D8" t="n">
        <v>1234567890</v>
      </c>
      <c r="E8" t="inlineStr">
        <is>
          <t>ООО</t>
        </is>
      </c>
      <c r="F8" t="inlineStr">
        <is>
          <t>Ранель-Панель</t>
        </is>
      </c>
      <c r="G8" t="inlineStr">
        <is>
          <t>Панели</t>
        </is>
      </c>
      <c r="H8" t="n">
        <v>100</v>
      </c>
      <c r="I8" t="inlineStr">
        <is>
          <t>K100.0</t>
        </is>
      </c>
      <c r="K8" s="83" t="n">
        <v>47099</v>
      </c>
      <c r="L8" t="n">
        <v>60000</v>
      </c>
      <c r="N8" t="inlineStr">
        <is>
          <t>89393497741</t>
        </is>
      </c>
      <c r="R8" t="inlineStr">
        <is>
          <t>Нагимов</t>
        </is>
      </c>
      <c r="S8" t="inlineStr">
        <is>
          <t>Ранель</t>
        </is>
      </c>
      <c r="T8" t="inlineStr">
        <is>
          <t>Алмазович</t>
        </is>
      </c>
      <c r="V8" t="inlineStr">
        <is>
          <t>12.12.2028</t>
        </is>
      </c>
    </row>
    <row r="9">
      <c r="A9" t="inlineStr">
        <is>
          <t>№16 13.10.2023</t>
        </is>
      </c>
      <c r="D9" t="n">
        <v>987654321</v>
      </c>
      <c r="E9" t="inlineStr">
        <is>
          <t>ООО</t>
        </is>
      </c>
      <c r="F9" t="inlineStr">
        <is>
          <t>ВсемОкна</t>
        </is>
      </c>
      <c r="G9" t="inlineStr">
        <is>
          <t>Окна</t>
        </is>
      </c>
      <c r="H9" t="n">
        <v>120</v>
      </c>
      <c r="I9" t="inlineStr">
        <is>
          <t>K120.0</t>
        </is>
      </c>
      <c r="K9" s="83" t="n">
        <v>45581</v>
      </c>
      <c r="L9" t="n">
        <v>60000</v>
      </c>
      <c r="N9" t="inlineStr">
        <is>
          <t>89563251602</t>
        </is>
      </c>
      <c r="R9" t="inlineStr">
        <is>
          <t>Иванов</t>
        </is>
      </c>
      <c r="S9" t="inlineStr">
        <is>
          <t>Максим</t>
        </is>
      </c>
      <c r="T9" t="inlineStr">
        <is>
          <t>Иванович</t>
        </is>
      </c>
      <c r="V9" t="inlineStr">
        <is>
          <t>12.09.2028</t>
        </is>
      </c>
    </row>
    <row r="10">
      <c r="A10" t="inlineStr">
        <is>
          <t>№19 13.02.2023</t>
        </is>
      </c>
      <c r="D10" t="inlineStr">
        <is>
          <t>0192837465</t>
        </is>
      </c>
      <c r="E10" t="inlineStr">
        <is>
          <t>ИП</t>
        </is>
      </c>
      <c r="F10" t="inlineStr">
        <is>
          <t>ДомСтрой</t>
        </is>
      </c>
      <c r="G10" t="inlineStr">
        <is>
          <t>Строй-Материалы</t>
        </is>
      </c>
      <c r="H10" t="n">
        <v>130</v>
      </c>
      <c r="I10" t="inlineStr">
        <is>
          <t>K130.0</t>
        </is>
      </c>
      <c r="K10" s="84" t="n">
        <v>46368</v>
      </c>
      <c r="L10" t="n">
        <v>60000</v>
      </c>
      <c r="N10" t="inlineStr">
        <is>
          <t>89123456789</t>
        </is>
      </c>
      <c r="R10" t="inlineStr">
        <is>
          <t>Сидоров</t>
        </is>
      </c>
      <c r="S10" t="inlineStr">
        <is>
          <t>Сергей</t>
        </is>
      </c>
      <c r="T10" t="inlineStr">
        <is>
          <t>Иванович</t>
        </is>
      </c>
      <c r="V10" t="inlineStr">
        <is>
          <t>12.12.2028</t>
        </is>
      </c>
    </row>
    <row r="11">
      <c r="A11" t="inlineStr">
        <is>
          <t>№12 20.10.2020</t>
        </is>
      </c>
      <c r="D11" t="inlineStr">
        <is>
          <t>0000011111</t>
        </is>
      </c>
      <c r="E11" t="inlineStr">
        <is>
          <t>ООО</t>
        </is>
      </c>
      <c r="F11" t="inlineStr">
        <is>
          <t>0000001111</t>
        </is>
      </c>
      <c r="G11" t="inlineStr">
        <is>
          <t>чилл</t>
        </is>
      </c>
      <c r="H11" t="n">
        <v>2324</v>
      </c>
      <c r="I11" t="inlineStr">
        <is>
          <t>K2324.0</t>
        </is>
      </c>
      <c r="K11" s="84" t="n">
        <v>41255</v>
      </c>
      <c r="N11" t="inlineStr">
        <is>
          <t>89393374081</t>
        </is>
      </c>
      <c r="R11" t="inlineStr">
        <is>
          <t>Шагиахметов</t>
        </is>
      </c>
      <c r="S11" t="inlineStr">
        <is>
          <t>Амин</t>
        </is>
      </c>
      <c r="T11" t="inlineStr">
        <is>
          <t>Айратович</t>
        </is>
      </c>
      <c r="V11" t="inlineStr">
        <is>
          <t>20.12.2027</t>
        </is>
      </c>
    </row>
    <row r="12">
      <c r="A12" t="inlineStr">
        <is>
          <t>№14 12.12.2002</t>
        </is>
      </c>
      <c r="D12" t="inlineStr">
        <is>
          <t>1111111000</t>
        </is>
      </c>
      <c r="E12" t="inlineStr">
        <is>
          <t>ООО</t>
        </is>
      </c>
      <c r="F12" t="inlineStr">
        <is>
          <t>Пивозавр</t>
        </is>
      </c>
      <c r="G12" t="inlineStr">
        <is>
          <t>ггол</t>
        </is>
      </c>
      <c r="H12" t="n">
        <v>4332</v>
      </c>
      <c r="I12" t="inlineStr">
        <is>
          <t>K4332.0</t>
        </is>
      </c>
      <c r="K12" s="84" t="n">
        <v>36872</v>
      </c>
      <c r="N12" t="inlineStr">
        <is>
          <t>79393374081</t>
        </is>
      </c>
      <c r="R12" t="inlineStr">
        <is>
          <t>Шагиахметов</t>
        </is>
      </c>
      <c r="S12" t="inlineStr">
        <is>
          <t>Амин</t>
        </is>
      </c>
      <c r="T12" t="inlineStr">
        <is>
          <t>Айратович</t>
        </is>
      </c>
      <c r="V12" t="inlineStr">
        <is>
          <t>12.12.2030</t>
        </is>
      </c>
    </row>
    <row r="13">
      <c r="A13" t="inlineStr">
        <is>
          <t>№88 12.02.2022</t>
        </is>
      </c>
      <c r="D13" t="inlineStr">
        <is>
          <t>3434343434</t>
        </is>
      </c>
      <c r="E13" t="inlineStr">
        <is>
          <t>ООО</t>
        </is>
      </c>
      <c r="F13" t="inlineStr">
        <is>
          <t>Зиверт</t>
        </is>
      </c>
      <c r="G13" t="inlineStr">
        <is>
          <t>футбольные мячи</t>
        </is>
      </c>
      <c r="H13" t="n">
        <v>777</v>
      </c>
      <c r="I13" t="inlineStr">
        <is>
          <t>K777.0</t>
        </is>
      </c>
      <c r="K13" s="84" t="n">
        <v>44177</v>
      </c>
      <c r="N13" t="inlineStr">
        <is>
          <t>89393374088</t>
        </is>
      </c>
      <c r="R13" t="inlineStr">
        <is>
          <t>Криштиан</t>
        </is>
      </c>
      <c r="S13" t="inlineStr">
        <is>
          <t>Роналдов</t>
        </is>
      </c>
      <c r="T13" t="inlineStr">
        <is>
          <t>Олегович</t>
        </is>
      </c>
      <c r="V13" t="inlineStr">
        <is>
          <t>12.12.2050</t>
        </is>
      </c>
    </row>
    <row r="14">
      <c r="A14" t="inlineStr">
        <is>
          <t>№1 12.12.2000</t>
        </is>
      </c>
      <c r="D14" t="inlineStr">
        <is>
          <t>9999999999</t>
        </is>
      </c>
      <c r="E14" t="inlineStr">
        <is>
          <t>ООО</t>
        </is>
      </c>
      <c r="F14" t="inlineStr">
        <is>
          <t>ПИра</t>
        </is>
      </c>
      <c r="G14" t="inlineStr">
        <is>
          <t>автозапчасти</t>
        </is>
      </c>
      <c r="H14" t="n">
        <v>4445</v>
      </c>
      <c r="I14" t="inlineStr">
        <is>
          <t>K4445.0</t>
        </is>
      </c>
      <c r="K14" s="84" t="n">
        <v>36872</v>
      </c>
      <c r="N14" t="inlineStr">
        <is>
          <t>89393375050</t>
        </is>
      </c>
      <c r="R14" t="inlineStr">
        <is>
          <t>Жушин</t>
        </is>
      </c>
      <c r="S14" t="inlineStr">
        <is>
          <t>Жжжужж</t>
        </is>
      </c>
      <c r="T14" t="inlineStr">
        <is>
          <t>Менгович</t>
        </is>
      </c>
      <c r="V14" t="inlineStr">
        <is>
          <t>12.12.2070</t>
        </is>
      </c>
    </row>
    <row r="15">
      <c r="A15" t="inlineStr">
        <is>
          <t>№33 12.12.2000</t>
        </is>
      </c>
      <c r="D15" t="inlineStr">
        <is>
          <t>222222233377</t>
        </is>
      </c>
      <c r="E15" t="inlineStr">
        <is>
          <t>ООО</t>
        </is>
      </c>
      <c r="F15" t="inlineStr">
        <is>
          <t>ЗИПКА</t>
        </is>
      </c>
      <c r="G15" t="inlineStr">
        <is>
          <t>строители</t>
        </is>
      </c>
      <c r="H15" t="n">
        <v>898</v>
      </c>
      <c r="I15" t="inlineStr">
        <is>
          <t>K898.0</t>
        </is>
      </c>
      <c r="K15" s="84" t="n">
        <v>40858</v>
      </c>
      <c r="N15" t="inlineStr">
        <is>
          <t>89494478181</t>
        </is>
      </c>
      <c r="R15" t="inlineStr">
        <is>
          <t>ВЕОЛОВИЧ</t>
        </is>
      </c>
      <c r="S15" t="inlineStr">
        <is>
          <t>Вилиан</t>
        </is>
      </c>
      <c r="T15" t="inlineStr">
        <is>
          <t>Альбертович</t>
        </is>
      </c>
      <c r="V15" t="inlineStr">
        <is>
          <t>12.12.2060</t>
        </is>
      </c>
    </row>
    <row r="16">
      <c r="A16" t="inlineStr">
        <is>
          <t>№14 12.12.2000</t>
        </is>
      </c>
      <c r="D16" t="inlineStr">
        <is>
          <t>9999999955</t>
        </is>
      </c>
      <c r="E16" t="inlineStr">
        <is>
          <t>ООО</t>
        </is>
      </c>
      <c r="F16" t="inlineStr">
        <is>
          <t>Ibae</t>
        </is>
      </c>
      <c r="G16" t="inlineStr">
        <is>
          <t>Пекарня</t>
        </is>
      </c>
      <c r="H16" t="n">
        <v>3346</v>
      </c>
      <c r="I16" t="inlineStr">
        <is>
          <t>K3346.0</t>
        </is>
      </c>
      <c r="K16" s="84" t="n">
        <v>36872</v>
      </c>
      <c r="N16" t="inlineStr">
        <is>
          <t>89568880381</t>
        </is>
      </c>
      <c r="R16" t="inlineStr">
        <is>
          <t>Ричиев</t>
        </is>
      </c>
      <c r="S16" t="inlineStr">
        <is>
          <t>Ричард</t>
        </is>
      </c>
      <c r="T16" t="inlineStr">
        <is>
          <t>Ричич</t>
        </is>
      </c>
      <c r="V16" t="inlineStr">
        <is>
          <t>12.12.2070</t>
        </is>
      </c>
    </row>
    <row r="17">
      <c r="A17" t="inlineStr">
        <is>
          <t>№12 20.10.2000</t>
        </is>
      </c>
      <c r="D17" t="inlineStr">
        <is>
          <t>8888888877</t>
        </is>
      </c>
      <c r="E17" t="inlineStr">
        <is>
          <t>ООО</t>
        </is>
      </c>
      <c r="F17" t="inlineStr">
        <is>
          <t>Gucci</t>
        </is>
      </c>
      <c r="G17" t="inlineStr">
        <is>
          <t>футбольный магазин</t>
        </is>
      </c>
      <c r="H17" t="n">
        <v>666</v>
      </c>
      <c r="I17" t="inlineStr">
        <is>
          <t>K666.0</t>
        </is>
      </c>
      <c r="K17" s="84" t="n">
        <v>36872</v>
      </c>
      <c r="N17" t="inlineStr">
        <is>
          <t>88005553535</t>
        </is>
      </c>
      <c r="R17" t="inlineStr">
        <is>
          <t>Марадона</t>
        </is>
      </c>
      <c r="S17" t="inlineStr">
        <is>
          <t>Диего</t>
        </is>
      </c>
      <c r="T17" t="inlineStr">
        <is>
          <t>Армандо</t>
        </is>
      </c>
      <c r="V17" t="inlineStr">
        <is>
          <t>12.12.2043</t>
        </is>
      </c>
    </row>
    <row r="18">
      <c r="A18" t="inlineStr">
        <is>
          <t>ахахаххаха</t>
        </is>
      </c>
      <c r="D18" t="inlineStr">
        <is>
          <t>7777777777</t>
        </is>
      </c>
      <c r="E18" t="inlineStr">
        <is>
          <t>ООО</t>
        </is>
      </c>
      <c r="F18" t="inlineStr">
        <is>
          <t>Bomzhi V Gucci</t>
        </is>
      </c>
      <c r="G18" t="inlineStr">
        <is>
          <t>футбольная экипировка</t>
        </is>
      </c>
      <c r="H18" t="n">
        <v>377</v>
      </c>
      <c r="I18" t="inlineStr">
        <is>
          <t>K377.0</t>
        </is>
      </c>
      <c r="K18" s="84" t="n">
        <v>36872</v>
      </c>
      <c r="N18" t="inlineStr">
        <is>
          <t>88005553535</t>
        </is>
      </c>
      <c r="R18" t="inlineStr">
        <is>
          <t>Роналду</t>
        </is>
      </c>
      <c r="S18" t="inlineStr">
        <is>
          <t>Криштиану</t>
        </is>
      </c>
      <c r="T18" t="inlineStr">
        <is>
          <t>ДушСантушАвейру</t>
        </is>
      </c>
      <c r="V18" t="inlineStr">
        <is>
          <t>12.12.2060</t>
        </is>
      </c>
    </row>
    <row r="19">
      <c r="A19" t="inlineStr">
        <is>
          <t>№55 12.12.2023</t>
        </is>
      </c>
      <c r="D19" t="inlineStr">
        <is>
          <t>5555555555</t>
        </is>
      </c>
      <c r="E19" t="inlineStr">
        <is>
          <t>АО</t>
        </is>
      </c>
      <c r="F19" t="inlineStr">
        <is>
          <t>МЕГАФОН</t>
        </is>
      </c>
      <c r="G19" t="inlineStr">
        <is>
          <t>сотовая связь</t>
        </is>
      </c>
      <c r="H19" t="n">
        <v>55</v>
      </c>
      <c r="I19" t="inlineStr">
        <is>
          <t>K55.0</t>
        </is>
      </c>
      <c r="K19" s="84" t="n">
        <v>46368</v>
      </c>
      <c r="N19" t="inlineStr">
        <is>
          <t>89393497741</t>
        </is>
      </c>
      <c r="R19" t="inlineStr">
        <is>
          <t>Радиков</t>
        </is>
      </c>
      <c r="S19" t="inlineStr">
        <is>
          <t>Радик</t>
        </is>
      </c>
      <c r="T19" t="inlineStr">
        <is>
          <t>Радикович</t>
        </is>
      </c>
      <c r="V19" t="inlineStr">
        <is>
          <t>12.12.2027</t>
        </is>
      </c>
    </row>
    <row r="20">
      <c r="A20" t="inlineStr">
        <is>
          <t>№65 12.12.2023</t>
        </is>
      </c>
      <c r="D20" t="inlineStr">
        <is>
          <t>6565656565</t>
        </is>
      </c>
      <c r="E20" t="inlineStr">
        <is>
          <t>ООО</t>
        </is>
      </c>
      <c r="F20" t="inlineStr">
        <is>
          <t>АПЛЕ</t>
        </is>
      </c>
      <c r="G20" t="inlineStr">
        <is>
          <t>Микрозайм</t>
        </is>
      </c>
      <c r="H20" t="n">
        <v>65</v>
      </c>
      <c r="I20" t="inlineStr">
        <is>
          <t>K65.0</t>
        </is>
      </c>
      <c r="K20" s="84" t="n">
        <v>46003</v>
      </c>
      <c r="N20" t="inlineStr">
        <is>
          <t>89393497741</t>
        </is>
      </c>
      <c r="R20" t="inlineStr">
        <is>
          <t>Нагивев</t>
        </is>
      </c>
      <c r="S20" t="inlineStr">
        <is>
          <t>Иван</t>
        </is>
      </c>
      <c r="T20" t="inlineStr">
        <is>
          <t>Радикович</t>
        </is>
      </c>
      <c r="V20" t="inlineStr">
        <is>
          <t>12.12.2027</t>
        </is>
      </c>
    </row>
    <row r="21">
      <c r="A21" t="inlineStr">
        <is>
          <t>45 12.12.2024</t>
        </is>
      </c>
      <c r="D21" t="inlineStr">
        <is>
          <t>4545454545</t>
        </is>
      </c>
      <c r="E21" t="inlineStr">
        <is>
          <t>ООО</t>
        </is>
      </c>
      <c r="F21" t="inlineStr">
        <is>
          <t>ROLYX</t>
        </is>
      </c>
      <c r="G21" t="inlineStr">
        <is>
          <t>ТЕНИС</t>
        </is>
      </c>
      <c r="H21" t="n">
        <v>45</v>
      </c>
      <c r="I21" t="inlineStr">
        <is>
          <t>K45.0</t>
        </is>
      </c>
      <c r="K21" s="84" t="n">
        <v>46003</v>
      </c>
      <c r="N21" t="inlineStr">
        <is>
          <t>89393497741</t>
        </is>
      </c>
      <c r="R21" t="inlineStr">
        <is>
          <t>Мартин</t>
        </is>
      </c>
      <c r="S21" t="inlineStr">
        <is>
          <t>Суприм</t>
        </is>
      </c>
      <c r="T21" t="inlineStr">
        <is>
          <t>Супримович</t>
        </is>
      </c>
      <c r="V21" t="inlineStr">
        <is>
          <t>12.12.2026</t>
        </is>
      </c>
    </row>
    <row r="22">
      <c r="A22" t="inlineStr">
        <is>
          <t>23 12.12.2025</t>
        </is>
      </c>
      <c r="D22" t="inlineStr">
        <is>
          <t>2323232323</t>
        </is>
      </c>
      <c r="E22" t="inlineStr">
        <is>
          <t>ООО</t>
        </is>
      </c>
      <c r="F22" t="inlineStr">
        <is>
          <t>ФАЙСБУЙ</t>
        </is>
      </c>
      <c r="G22" t="inlineStr">
        <is>
          <t>СМС</t>
        </is>
      </c>
      <c r="H22" t="n">
        <v>23</v>
      </c>
      <c r="I22" t="inlineStr">
        <is>
          <t>K23.0</t>
        </is>
      </c>
      <c r="K22" s="84" t="n">
        <v>46003</v>
      </c>
      <c r="N22" t="inlineStr">
        <is>
          <t>89393497741</t>
        </is>
      </c>
      <c r="R22" t="inlineStr">
        <is>
          <t>Марк</t>
        </is>
      </c>
      <c r="S22" t="inlineStr">
        <is>
          <t>цукерберг</t>
        </is>
      </c>
      <c r="T22" t="inlineStr">
        <is>
          <t>марков</t>
        </is>
      </c>
      <c r="V22" t="inlineStr">
        <is>
          <t>12.12.2026</t>
        </is>
      </c>
    </row>
    <row r="23">
      <c r="A23" t="inlineStr">
        <is>
          <t>132 12.12.2024</t>
        </is>
      </c>
      <c r="D23" t="inlineStr">
        <is>
          <t>7937529528</t>
        </is>
      </c>
      <c r="E23" t="inlineStr">
        <is>
          <t>ООО</t>
        </is>
      </c>
      <c r="F23" t="inlineStr">
        <is>
          <t>RIMA</t>
        </is>
      </c>
      <c r="G23" t="inlineStr">
        <is>
          <t>Офисная</t>
        </is>
      </c>
      <c r="H23" t="n">
        <v>132</v>
      </c>
      <c r="I23" t="inlineStr">
        <is>
          <t>K132.0</t>
        </is>
      </c>
      <c r="K23" s="84" t="n">
        <v>46003</v>
      </c>
      <c r="N23" t="inlineStr">
        <is>
          <t>+7 937 529 5287</t>
        </is>
      </c>
      <c r="R23" t="inlineStr">
        <is>
          <t>Мингазова</t>
        </is>
      </c>
      <c r="S23" t="inlineStr">
        <is>
          <t>Римма</t>
        </is>
      </c>
      <c r="T23" t="inlineStr">
        <is>
          <t>Маратовна</t>
        </is>
      </c>
      <c r="V23" t="inlineStr">
        <is>
          <t>12.12.2027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15"/>
  <sheetViews>
    <sheetView zoomScale="125" zoomScaleNormal="100" workbookViewId="0">
      <pane xSplit="3" ySplit="9" topLeftCell="D10" activePane="bottomRight" state="frozen"/>
      <selection pane="topRight" activeCell="D1" sqref="D1"/>
      <selection pane="bottomLeft" activeCell="A11" sqref="A11"/>
      <selection pane="bottomRight" activeCell="D16" sqref="D16"/>
    </sheetView>
  </sheetViews>
  <sheetFormatPr baseColWidth="8" defaultColWidth="11.42578125" defaultRowHeight="15"/>
  <cols>
    <col width="26.7109375" customWidth="1" min="2" max="2"/>
    <col width="17" customWidth="1" min="3" max="3"/>
    <col width="16" customWidth="1" min="5" max="5"/>
  </cols>
  <sheetData>
    <row r="1">
      <c r="E1" s="51" t="n">
        <v>45962</v>
      </c>
      <c r="G1" s="51" t="n">
        <v>45992</v>
      </c>
      <c r="I1" s="51" t="n">
        <v>46023</v>
      </c>
      <c r="K1" s="51" t="n">
        <v>46054</v>
      </c>
      <c r="M1" s="51" t="n">
        <v>46082</v>
      </c>
      <c r="O1" s="51" t="n">
        <v>46113</v>
      </c>
      <c r="Q1" s="51" t="n">
        <v>46143</v>
      </c>
      <c r="S1" s="51" t="n">
        <v>46174</v>
      </c>
      <c r="U1" s="51" t="n">
        <v>46204</v>
      </c>
      <c r="W1" s="51" t="n">
        <v>46235</v>
      </c>
      <c r="Y1" s="51" t="n">
        <v>46266</v>
      </c>
      <c r="AA1" s="51" t="n">
        <v>46296</v>
      </c>
      <c r="AC1" s="51" t="n">
        <v>46327</v>
      </c>
      <c r="AE1" s="51" t="n">
        <v>46357</v>
      </c>
      <c r="AG1" s="51" t="n">
        <v>46388</v>
      </c>
      <c r="AI1" s="51" t="n">
        <v>46419</v>
      </c>
      <c r="AK1" s="51" t="n">
        <v>46447</v>
      </c>
      <c r="AM1" s="51" t="n">
        <v>46478</v>
      </c>
      <c r="AO1" s="51" t="n">
        <v>46508</v>
      </c>
      <c r="AQ1" s="51" t="n">
        <v>46539</v>
      </c>
      <c r="AS1" s="51" t="n">
        <v>46569</v>
      </c>
      <c r="AU1" s="51" t="n">
        <v>46600</v>
      </c>
      <c r="AW1" s="51" t="n">
        <v>46631</v>
      </c>
      <c r="AY1" s="51" t="n">
        <v>46661</v>
      </c>
      <c r="BA1" s="51" t="n">
        <v>46692</v>
      </c>
    </row>
    <row r="2">
      <c r="A2" s="33" t="inlineStr">
        <is>
          <t>ИНН</t>
        </is>
      </c>
      <c r="B2" s="33" t="inlineStr">
        <is>
          <t>Арендатор</t>
        </is>
      </c>
      <c r="C2" s="33" t="inlineStr">
        <is>
          <t>Площадь</t>
        </is>
      </c>
      <c r="D2" s="47" t="inlineStr">
        <is>
          <t>Ставка</t>
        </is>
      </c>
      <c r="E2" s="32" t="inlineStr">
        <is>
          <t>Сумма</t>
        </is>
      </c>
      <c r="F2" s="32" t="inlineStr">
        <is>
          <t>Ставка</t>
        </is>
      </c>
      <c r="G2" s="32" t="inlineStr">
        <is>
          <t>Сумма</t>
        </is>
      </c>
      <c r="H2" s="32" t="inlineStr">
        <is>
          <t>Ставка</t>
        </is>
      </c>
      <c r="I2" s="32" t="inlineStr">
        <is>
          <t>Сумма</t>
        </is>
      </c>
      <c r="J2" s="32" t="inlineStr">
        <is>
          <t>Ставка</t>
        </is>
      </c>
      <c r="K2" s="32" t="inlineStr">
        <is>
          <t>Сумма</t>
        </is>
      </c>
      <c r="L2" s="32" t="inlineStr">
        <is>
          <t>Ставка</t>
        </is>
      </c>
      <c r="M2" s="32" t="inlineStr">
        <is>
          <t>Сумма</t>
        </is>
      </c>
      <c r="N2" s="32" t="inlineStr">
        <is>
          <t>Ставка</t>
        </is>
      </c>
      <c r="O2" s="32" t="inlineStr">
        <is>
          <t>Сумма</t>
        </is>
      </c>
      <c r="P2" s="32" t="inlineStr">
        <is>
          <t>Ставка</t>
        </is>
      </c>
      <c r="Q2" s="32" t="inlineStr">
        <is>
          <t>Сумма</t>
        </is>
      </c>
      <c r="R2" s="32" t="inlineStr">
        <is>
          <t>Ставка</t>
        </is>
      </c>
      <c r="S2" s="32" t="inlineStr">
        <is>
          <t>Сумма</t>
        </is>
      </c>
      <c r="T2" s="32" t="inlineStr">
        <is>
          <t>Ставка</t>
        </is>
      </c>
      <c r="U2" s="32" t="inlineStr">
        <is>
          <t>Сумма</t>
        </is>
      </c>
      <c r="V2" s="32" t="inlineStr">
        <is>
          <t>Ставка</t>
        </is>
      </c>
      <c r="W2" s="32" t="inlineStr">
        <is>
          <t>Сумма</t>
        </is>
      </c>
      <c r="X2" s="32" t="inlineStr">
        <is>
          <t>Ставка</t>
        </is>
      </c>
      <c r="Y2" s="32" t="inlineStr">
        <is>
          <t>Сумма</t>
        </is>
      </c>
      <c r="Z2" s="32" t="inlineStr">
        <is>
          <t>Ставка</t>
        </is>
      </c>
      <c r="AA2" s="32" t="inlineStr">
        <is>
          <t>Сумма</t>
        </is>
      </c>
      <c r="AB2" s="32" t="inlineStr">
        <is>
          <t>Ставка</t>
        </is>
      </c>
      <c r="AC2" s="32" t="inlineStr">
        <is>
          <t>Сумма</t>
        </is>
      </c>
      <c r="AD2" s="32" t="inlineStr">
        <is>
          <t>Ставка</t>
        </is>
      </c>
      <c r="AE2" s="32" t="inlineStr">
        <is>
          <t>Сумма</t>
        </is>
      </c>
      <c r="AF2" s="32" t="inlineStr">
        <is>
          <t>Ставка</t>
        </is>
      </c>
      <c r="AG2" s="32" t="inlineStr">
        <is>
          <t>Сумма</t>
        </is>
      </c>
      <c r="AH2" s="32" t="inlineStr">
        <is>
          <t>Ставка</t>
        </is>
      </c>
      <c r="AI2" s="32" t="inlineStr">
        <is>
          <t>Сумма</t>
        </is>
      </c>
      <c r="AJ2" s="32" t="inlineStr">
        <is>
          <t>Ставка</t>
        </is>
      </c>
      <c r="AK2" s="32" t="inlineStr">
        <is>
          <t>Сумма</t>
        </is>
      </c>
      <c r="AL2" s="32" t="inlineStr">
        <is>
          <t>Ставка</t>
        </is>
      </c>
      <c r="AM2" s="32" t="inlineStr">
        <is>
          <t>Сумма</t>
        </is>
      </c>
      <c r="AN2" s="32" t="inlineStr">
        <is>
          <t>Ставка</t>
        </is>
      </c>
      <c r="AO2" s="32" t="inlineStr">
        <is>
          <t>Сумма</t>
        </is>
      </c>
      <c r="AP2" s="32" t="inlineStr">
        <is>
          <t>Ставка</t>
        </is>
      </c>
      <c r="AQ2" s="32" t="inlineStr">
        <is>
          <t>Сумма</t>
        </is>
      </c>
      <c r="AR2" s="32" t="inlineStr">
        <is>
          <t>Ставка</t>
        </is>
      </c>
      <c r="AS2" s="32" t="inlineStr">
        <is>
          <t>Сумма</t>
        </is>
      </c>
      <c r="AT2" s="32" t="inlineStr">
        <is>
          <t>Ставка</t>
        </is>
      </c>
      <c r="AU2" s="32" t="inlineStr">
        <is>
          <t>Сумма</t>
        </is>
      </c>
      <c r="AV2" s="32" t="inlineStr">
        <is>
          <t>Ставка</t>
        </is>
      </c>
      <c r="AW2" s="32" t="inlineStr">
        <is>
          <t>Сумма</t>
        </is>
      </c>
      <c r="AX2" s="32" t="inlineStr">
        <is>
          <t>Ставка</t>
        </is>
      </c>
      <c r="AY2" s="32" t="inlineStr">
        <is>
          <t>Сумма</t>
        </is>
      </c>
      <c r="AZ2" s="32" t="inlineStr">
        <is>
          <t>Ставка</t>
        </is>
      </c>
      <c r="BA2" s="32" t="inlineStr">
        <is>
          <t>Сумма</t>
        </is>
      </c>
    </row>
    <row r="3">
      <c r="A3" s="48">
        <f>Реестр!D2</f>
        <v/>
      </c>
      <c r="B3" s="50">
        <f>Реестр!F2</f>
        <v/>
      </c>
      <c r="C3" s="53">
        <f>Реестр!H2</f>
        <v/>
      </c>
      <c r="D3" s="48" t="n">
        <v>1600</v>
      </c>
      <c r="E3" s="63">
        <f>D3*$C3</f>
        <v/>
      </c>
      <c r="F3" s="2">
        <f>D3</f>
        <v/>
      </c>
      <c r="G3" s="55">
        <f>$C3*F3</f>
        <v/>
      </c>
      <c r="H3" s="56" t="n"/>
      <c r="I3" s="55">
        <f>$C3*H3</f>
        <v/>
      </c>
      <c r="J3" s="2">
        <f>H3</f>
        <v/>
      </c>
      <c r="K3" s="55">
        <f>$C3*J3</f>
        <v/>
      </c>
      <c r="L3" s="2">
        <f>J3</f>
        <v/>
      </c>
      <c r="M3" s="55">
        <f>$C3*L3</f>
        <v/>
      </c>
      <c r="N3" s="2">
        <f>L3</f>
        <v/>
      </c>
      <c r="O3" s="55">
        <f>$C3*N3</f>
        <v/>
      </c>
      <c r="P3" s="2">
        <f>N3</f>
        <v/>
      </c>
      <c r="Q3" s="55">
        <f>$C3*P3</f>
        <v/>
      </c>
      <c r="R3" s="2">
        <f>P3</f>
        <v/>
      </c>
      <c r="S3" s="55">
        <f>$C3*R3</f>
        <v/>
      </c>
      <c r="T3" s="2">
        <f>R3</f>
        <v/>
      </c>
      <c r="U3" s="55">
        <f>$C3*T3</f>
        <v/>
      </c>
      <c r="V3" s="2">
        <f>T3</f>
        <v/>
      </c>
      <c r="W3" s="55">
        <f>$C3*V3</f>
        <v/>
      </c>
      <c r="X3" s="2">
        <f>V3</f>
        <v/>
      </c>
      <c r="Y3" s="55">
        <f>$C3*X3</f>
        <v/>
      </c>
      <c r="Z3" s="2">
        <f>X3</f>
        <v/>
      </c>
      <c r="AA3" s="55">
        <f>$C3*Z3</f>
        <v/>
      </c>
      <c r="AB3" s="2">
        <f>Z3</f>
        <v/>
      </c>
      <c r="AC3" s="55">
        <f>$C3*AB3</f>
        <v/>
      </c>
      <c r="AD3" s="2">
        <f>AB3</f>
        <v/>
      </c>
      <c r="AE3" s="55">
        <f>$C3*AD3</f>
        <v/>
      </c>
      <c r="AF3" s="56" t="n"/>
      <c r="AG3" s="55">
        <f>$C3*AF3</f>
        <v/>
      </c>
      <c r="AH3" s="2">
        <f>AF3</f>
        <v/>
      </c>
      <c r="AI3" s="55">
        <f>$C3*AH3</f>
        <v/>
      </c>
      <c r="AJ3" s="2">
        <f>AH3</f>
        <v/>
      </c>
      <c r="AK3" s="55">
        <f>$C3*AJ3</f>
        <v/>
      </c>
      <c r="AL3" s="2">
        <f>AJ3</f>
        <v/>
      </c>
      <c r="AM3" s="55">
        <f>$C3*AL3</f>
        <v/>
      </c>
      <c r="AN3" s="2">
        <f>AL3</f>
        <v/>
      </c>
      <c r="AO3" s="55">
        <f>$C3*AN3</f>
        <v/>
      </c>
      <c r="AP3" s="2">
        <f>AN3</f>
        <v/>
      </c>
      <c r="AQ3" s="55">
        <f>$C3*AP3</f>
        <v/>
      </c>
      <c r="AR3" s="2">
        <f>AP3</f>
        <v/>
      </c>
      <c r="AS3" s="55">
        <f>$C3*AR3</f>
        <v/>
      </c>
      <c r="AT3" s="2">
        <f>AR3</f>
        <v/>
      </c>
      <c r="AU3" s="55">
        <f>$C3*AT3</f>
        <v/>
      </c>
      <c r="AV3" s="2">
        <f>AT3</f>
        <v/>
      </c>
      <c r="AW3" s="55">
        <f>$C3*AV3</f>
        <v/>
      </c>
      <c r="AX3" s="2">
        <f>AV3</f>
        <v/>
      </c>
      <c r="AY3" s="55">
        <f>$C3*AX3</f>
        <v/>
      </c>
      <c r="AZ3" s="2">
        <f>AX3</f>
        <v/>
      </c>
      <c r="BA3" s="55">
        <f>$C3*AZ3</f>
        <v/>
      </c>
    </row>
    <row r="4">
      <c r="A4" s="48">
        <f>Реестр!D3</f>
        <v/>
      </c>
      <c r="B4" s="50">
        <f>Реестр!F3</f>
        <v/>
      </c>
      <c r="C4" s="53">
        <f>Реестр!H3</f>
        <v/>
      </c>
      <c r="D4" s="48" t="n">
        <v>1800</v>
      </c>
      <c r="E4" s="64">
        <f>D4*$C4</f>
        <v/>
      </c>
      <c r="F4" s="2">
        <f>D4</f>
        <v/>
      </c>
      <c r="G4" s="55">
        <f>$C4*F4</f>
        <v/>
      </c>
      <c r="H4" s="56" t="n"/>
      <c r="I4" s="55">
        <f>$C4*H4</f>
        <v/>
      </c>
      <c r="J4" s="2">
        <f>H4</f>
        <v/>
      </c>
      <c r="K4" s="55">
        <f>$C4*J4</f>
        <v/>
      </c>
      <c r="L4" s="2">
        <f>J4</f>
        <v/>
      </c>
      <c r="M4" s="55">
        <f>$C4*L4</f>
        <v/>
      </c>
      <c r="N4" s="2">
        <f>L4</f>
        <v/>
      </c>
      <c r="O4" s="55">
        <f>$C4*N4</f>
        <v/>
      </c>
      <c r="P4" s="2">
        <f>N4</f>
        <v/>
      </c>
      <c r="Q4" s="55">
        <f>$C4*P4</f>
        <v/>
      </c>
      <c r="R4" s="2">
        <f>P4</f>
        <v/>
      </c>
      <c r="S4" s="55">
        <f>$C4*R4</f>
        <v/>
      </c>
      <c r="T4" s="2">
        <f>R4</f>
        <v/>
      </c>
      <c r="U4" s="55">
        <f>$C4*T4</f>
        <v/>
      </c>
      <c r="V4" s="2">
        <f>T4</f>
        <v/>
      </c>
      <c r="W4" s="55">
        <f>$C4*V4</f>
        <v/>
      </c>
      <c r="X4" s="2">
        <f>V4</f>
        <v/>
      </c>
      <c r="Y4" s="55">
        <f>$C4*X4</f>
        <v/>
      </c>
      <c r="Z4" s="2">
        <f>X4</f>
        <v/>
      </c>
      <c r="AA4" s="55">
        <f>$C4*Z4</f>
        <v/>
      </c>
      <c r="AB4" s="2">
        <f>Z4</f>
        <v/>
      </c>
      <c r="AC4" s="55">
        <f>$C4*AB4</f>
        <v/>
      </c>
      <c r="AD4" s="2">
        <f>AB4</f>
        <v/>
      </c>
      <c r="AE4" s="55">
        <f>$C4*AD4</f>
        <v/>
      </c>
      <c r="AF4" s="56" t="n"/>
      <c r="AG4" s="55">
        <f>$C4*AF4</f>
        <v/>
      </c>
      <c r="AH4" s="2">
        <f>AF4</f>
        <v/>
      </c>
      <c r="AI4" s="55">
        <f>$C4*AH4</f>
        <v/>
      </c>
      <c r="AJ4" s="2">
        <f>AH4</f>
        <v/>
      </c>
      <c r="AK4" s="55">
        <f>$C4*AJ4</f>
        <v/>
      </c>
      <c r="AL4" s="2">
        <f>AJ4</f>
        <v/>
      </c>
      <c r="AM4" s="55">
        <f>$C4*AL4</f>
        <v/>
      </c>
      <c r="AN4" s="2">
        <f>AL4</f>
        <v/>
      </c>
      <c r="AO4" s="55">
        <f>$C4*AN4</f>
        <v/>
      </c>
      <c r="AP4" s="2">
        <f>AN4</f>
        <v/>
      </c>
      <c r="AQ4" s="55">
        <f>$C4*AP4</f>
        <v/>
      </c>
      <c r="AR4" s="2">
        <f>AP4</f>
        <v/>
      </c>
      <c r="AS4" s="55">
        <f>$C4*AR4</f>
        <v/>
      </c>
      <c r="AT4" s="2">
        <f>AR4</f>
        <v/>
      </c>
      <c r="AU4" s="55">
        <f>$C4*AT4</f>
        <v/>
      </c>
      <c r="AV4" s="2">
        <f>AT4</f>
        <v/>
      </c>
      <c r="AW4" s="55">
        <f>$C4*AV4</f>
        <v/>
      </c>
      <c r="AX4" s="2">
        <f>AV4</f>
        <v/>
      </c>
      <c r="AY4" s="55">
        <f>$C4*AX4</f>
        <v/>
      </c>
      <c r="AZ4" s="2">
        <f>AX4</f>
        <v/>
      </c>
      <c r="BA4" s="55">
        <f>$C4*AZ4</f>
        <v/>
      </c>
    </row>
    <row r="5">
      <c r="A5" s="48">
        <f>Реестр!D4</f>
        <v/>
      </c>
      <c r="B5" s="50">
        <f>Реестр!F4</f>
        <v/>
      </c>
      <c r="C5" s="53">
        <f>Реестр!H4</f>
        <v/>
      </c>
      <c r="D5" s="48" t="n"/>
      <c r="E5" s="55">
        <f>D5*$C5</f>
        <v/>
      </c>
      <c r="F5" s="2">
        <f>D5</f>
        <v/>
      </c>
      <c r="G5" s="55">
        <f>$C5*F5</f>
        <v/>
      </c>
      <c r="H5" s="56" t="n"/>
      <c r="I5" s="55">
        <f>$C5*H5</f>
        <v/>
      </c>
      <c r="J5" s="2">
        <f>H5</f>
        <v/>
      </c>
      <c r="K5" s="55">
        <f>$C5*J5</f>
        <v/>
      </c>
      <c r="L5" s="2">
        <f>J5</f>
        <v/>
      </c>
      <c r="M5" s="55">
        <f>$C5*L5</f>
        <v/>
      </c>
      <c r="N5" s="2">
        <f>L5</f>
        <v/>
      </c>
      <c r="O5" s="55">
        <f>$C5*N5</f>
        <v/>
      </c>
      <c r="P5" s="2">
        <f>N5</f>
        <v/>
      </c>
      <c r="Q5" s="55">
        <f>$C5*P5</f>
        <v/>
      </c>
      <c r="R5" s="2">
        <f>P5</f>
        <v/>
      </c>
      <c r="S5" s="55">
        <f>$C5*R5</f>
        <v/>
      </c>
      <c r="T5" s="2">
        <f>R5</f>
        <v/>
      </c>
      <c r="U5" s="55">
        <f>$C5*T5</f>
        <v/>
      </c>
      <c r="V5" s="2">
        <f>T5</f>
        <v/>
      </c>
      <c r="W5" s="55">
        <f>$C5*V5</f>
        <v/>
      </c>
      <c r="X5" s="2">
        <f>V5</f>
        <v/>
      </c>
      <c r="Y5" s="55">
        <f>$C5*X5</f>
        <v/>
      </c>
      <c r="Z5" s="2">
        <f>X5</f>
        <v/>
      </c>
      <c r="AA5" s="55">
        <f>$C5*Z5</f>
        <v/>
      </c>
      <c r="AB5" s="2">
        <f>Z5</f>
        <v/>
      </c>
      <c r="AC5" s="55">
        <f>$C5*AB5</f>
        <v/>
      </c>
      <c r="AD5" s="2">
        <f>AB5</f>
        <v/>
      </c>
      <c r="AE5" s="55">
        <f>$C5*AD5</f>
        <v/>
      </c>
      <c r="AF5" s="56" t="n"/>
      <c r="AG5" s="55">
        <f>$C5*AF5</f>
        <v/>
      </c>
      <c r="AH5" s="2">
        <f>AF5</f>
        <v/>
      </c>
      <c r="AI5" s="55">
        <f>$C5*AH5</f>
        <v/>
      </c>
      <c r="AJ5" s="2">
        <f>AH5</f>
        <v/>
      </c>
      <c r="AK5" s="55">
        <f>$C5*AJ5</f>
        <v/>
      </c>
      <c r="AL5" s="2">
        <f>AJ5</f>
        <v/>
      </c>
      <c r="AM5" s="55">
        <f>$C5*AL5</f>
        <v/>
      </c>
      <c r="AN5" s="2">
        <f>AL5</f>
        <v/>
      </c>
      <c r="AO5" s="55">
        <f>$C5*AN5</f>
        <v/>
      </c>
      <c r="AP5" s="2">
        <f>AN5</f>
        <v/>
      </c>
      <c r="AQ5" s="55">
        <f>$C5*AP5</f>
        <v/>
      </c>
      <c r="AR5" s="2">
        <f>AP5</f>
        <v/>
      </c>
      <c r="AS5" s="55">
        <f>$C5*AR5</f>
        <v/>
      </c>
      <c r="AT5" s="2">
        <f>AR5</f>
        <v/>
      </c>
      <c r="AU5" s="55">
        <f>$C5*AT5</f>
        <v/>
      </c>
      <c r="AV5" s="2">
        <f>AT5</f>
        <v/>
      </c>
      <c r="AW5" s="55">
        <f>$C5*AV5</f>
        <v/>
      </c>
      <c r="AX5" s="2">
        <f>AV5</f>
        <v/>
      </c>
      <c r="AY5" s="55">
        <f>$C5*AX5</f>
        <v/>
      </c>
      <c r="AZ5" s="2">
        <f>AX5</f>
        <v/>
      </c>
      <c r="BA5" s="55">
        <f>$C5*AZ5</f>
        <v/>
      </c>
    </row>
    <row r="6">
      <c r="A6" s="48">
        <f>Реестр!D5</f>
        <v/>
      </c>
      <c r="B6" s="50">
        <f>Реестр!F5</f>
        <v/>
      </c>
      <c r="C6" s="53">
        <f>Реестр!H5</f>
        <v/>
      </c>
      <c r="D6" s="48" t="n"/>
      <c r="E6" s="55">
        <f>D6*$C6</f>
        <v/>
      </c>
      <c r="F6" s="2">
        <f>D6</f>
        <v/>
      </c>
      <c r="G6" s="55">
        <f>$C6*F6</f>
        <v/>
      </c>
      <c r="H6" s="56" t="n"/>
      <c r="I6" s="55">
        <f>$C6*H6</f>
        <v/>
      </c>
      <c r="J6" s="2">
        <f>H6</f>
        <v/>
      </c>
      <c r="K6" s="55">
        <f>$C6*J6</f>
        <v/>
      </c>
      <c r="L6" s="2">
        <f>J6</f>
        <v/>
      </c>
      <c r="M6" s="55">
        <f>$C6*L6</f>
        <v/>
      </c>
      <c r="N6" s="2">
        <f>L6</f>
        <v/>
      </c>
      <c r="O6" s="55">
        <f>$C6*N6</f>
        <v/>
      </c>
      <c r="P6" s="2">
        <f>N6</f>
        <v/>
      </c>
      <c r="Q6" s="55">
        <f>$C6*P6</f>
        <v/>
      </c>
      <c r="R6" s="2">
        <f>P6</f>
        <v/>
      </c>
      <c r="S6" s="55">
        <f>$C6*R6</f>
        <v/>
      </c>
      <c r="T6" s="2">
        <f>R6</f>
        <v/>
      </c>
      <c r="U6" s="55">
        <f>$C6*T6</f>
        <v/>
      </c>
      <c r="V6" s="2">
        <f>T6</f>
        <v/>
      </c>
      <c r="W6" s="55">
        <f>$C6*V6</f>
        <v/>
      </c>
      <c r="X6" s="2">
        <f>V6</f>
        <v/>
      </c>
      <c r="Y6" s="55">
        <f>$C6*X6</f>
        <v/>
      </c>
      <c r="Z6" s="2">
        <f>X6</f>
        <v/>
      </c>
      <c r="AA6" s="55">
        <f>$C6*Z6</f>
        <v/>
      </c>
      <c r="AB6" s="2">
        <f>Z6</f>
        <v/>
      </c>
      <c r="AC6" s="55">
        <f>$C6*AB6</f>
        <v/>
      </c>
      <c r="AD6" s="2">
        <f>AB6</f>
        <v/>
      </c>
      <c r="AE6" s="55">
        <f>$C6*AD6</f>
        <v/>
      </c>
      <c r="AF6" s="56" t="n"/>
      <c r="AG6" s="55">
        <f>$C6*AF6</f>
        <v/>
      </c>
      <c r="AH6" s="2">
        <f>AF6</f>
        <v/>
      </c>
      <c r="AI6" s="55">
        <f>$C6*AH6</f>
        <v/>
      </c>
      <c r="AJ6" s="2">
        <f>AH6</f>
        <v/>
      </c>
      <c r="AK6" s="55">
        <f>$C6*AJ6</f>
        <v/>
      </c>
      <c r="AL6" s="2">
        <f>AJ6</f>
        <v/>
      </c>
      <c r="AM6" s="55">
        <f>$C6*AL6</f>
        <v/>
      </c>
      <c r="AN6" s="2">
        <f>AL6</f>
        <v/>
      </c>
      <c r="AO6" s="55">
        <f>$C6*AN6</f>
        <v/>
      </c>
      <c r="AP6" s="2">
        <f>AN6</f>
        <v/>
      </c>
      <c r="AQ6" s="55">
        <f>$C6*AP6</f>
        <v/>
      </c>
      <c r="AR6" s="2">
        <f>AP6</f>
        <v/>
      </c>
      <c r="AS6" s="55">
        <f>$C6*AR6</f>
        <v/>
      </c>
      <c r="AT6" s="2">
        <f>AR6</f>
        <v/>
      </c>
      <c r="AU6" s="55">
        <f>$C6*AT6</f>
        <v/>
      </c>
      <c r="AV6" s="2">
        <f>AT6</f>
        <v/>
      </c>
      <c r="AW6" s="55">
        <f>$C6*AV6</f>
        <v/>
      </c>
      <c r="AX6" s="2">
        <f>AV6</f>
        <v/>
      </c>
      <c r="AY6" s="55">
        <f>$C6*AX6</f>
        <v/>
      </c>
      <c r="AZ6" s="2">
        <f>AX6</f>
        <v/>
      </c>
      <c r="BA6" s="55">
        <f>$C6*AZ6</f>
        <v/>
      </c>
    </row>
    <row r="7">
      <c r="A7" s="48">
        <f>Реестр!D6</f>
        <v/>
      </c>
      <c r="B7" s="50">
        <f>Реестр!F6</f>
        <v/>
      </c>
      <c r="C7" s="53">
        <f>Реестр!H6</f>
        <v/>
      </c>
      <c r="D7" s="48" t="n">
        <v>2200</v>
      </c>
      <c r="E7" s="55">
        <f>D7*$C7</f>
        <v/>
      </c>
      <c r="F7" s="2">
        <f>D7</f>
        <v/>
      </c>
      <c r="G7" s="55">
        <f>$C7*F7</f>
        <v/>
      </c>
      <c r="H7" s="56" t="n"/>
      <c r="I7" s="55">
        <f>$C7*H7</f>
        <v/>
      </c>
      <c r="J7" s="2">
        <f>H7</f>
        <v/>
      </c>
      <c r="K7" s="55">
        <f>$C7*J7</f>
        <v/>
      </c>
      <c r="L7" s="2">
        <f>J7</f>
        <v/>
      </c>
      <c r="M7" s="55">
        <f>$C7*L7</f>
        <v/>
      </c>
      <c r="N7" s="2">
        <f>L7</f>
        <v/>
      </c>
      <c r="O7" s="55">
        <f>$C7*N7</f>
        <v/>
      </c>
      <c r="P7" s="2">
        <f>N7</f>
        <v/>
      </c>
      <c r="Q7" s="55">
        <f>$C7*P7</f>
        <v/>
      </c>
      <c r="R7" s="2">
        <f>P7</f>
        <v/>
      </c>
      <c r="S7" s="55">
        <f>$C7*R7</f>
        <v/>
      </c>
      <c r="T7" s="2">
        <f>R7</f>
        <v/>
      </c>
      <c r="U7" s="55">
        <f>$C7*T7</f>
        <v/>
      </c>
      <c r="V7" s="2">
        <f>T7</f>
        <v/>
      </c>
      <c r="W7" s="55">
        <f>$C7*V7</f>
        <v/>
      </c>
      <c r="X7" s="2">
        <f>V7</f>
        <v/>
      </c>
      <c r="Y7" s="55">
        <f>$C7*X7</f>
        <v/>
      </c>
      <c r="Z7" s="2">
        <f>X7</f>
        <v/>
      </c>
      <c r="AA7" s="55">
        <f>$C7*Z7</f>
        <v/>
      </c>
      <c r="AB7" s="2">
        <f>Z7</f>
        <v/>
      </c>
      <c r="AC7" s="55">
        <f>$C7*AB7</f>
        <v/>
      </c>
      <c r="AD7" s="2">
        <f>AB7</f>
        <v/>
      </c>
      <c r="AE7" s="55">
        <f>$C7*AD7</f>
        <v/>
      </c>
      <c r="AF7" s="56" t="n"/>
      <c r="AG7" s="55">
        <f>$C7*AF7</f>
        <v/>
      </c>
      <c r="AH7" s="2">
        <f>AF7</f>
        <v/>
      </c>
      <c r="AI7" s="55">
        <f>$C7*AH7</f>
        <v/>
      </c>
      <c r="AJ7" s="2">
        <f>AH7</f>
        <v/>
      </c>
      <c r="AK7" s="55">
        <f>$C7*AJ7</f>
        <v/>
      </c>
      <c r="AL7" s="2">
        <f>AJ7</f>
        <v/>
      </c>
      <c r="AM7" s="55">
        <f>$C7*AL7</f>
        <v/>
      </c>
      <c r="AN7" s="2">
        <f>AL7</f>
        <v/>
      </c>
      <c r="AO7" s="55">
        <f>$C7*AN7</f>
        <v/>
      </c>
      <c r="AP7" s="2">
        <f>AN7</f>
        <v/>
      </c>
      <c r="AQ7" s="55">
        <f>$C7*AP7</f>
        <v/>
      </c>
      <c r="AR7" s="2">
        <f>AP7</f>
        <v/>
      </c>
      <c r="AS7" s="55">
        <f>$C7*AR7</f>
        <v/>
      </c>
      <c r="AT7" s="2">
        <f>AR7</f>
        <v/>
      </c>
      <c r="AU7" s="55">
        <f>$C7*AT7</f>
        <v/>
      </c>
      <c r="AV7" s="2">
        <f>AT7</f>
        <v/>
      </c>
      <c r="AW7" s="55">
        <f>$C7*AV7</f>
        <v/>
      </c>
      <c r="AX7" s="2">
        <f>AV7</f>
        <v/>
      </c>
      <c r="AY7" s="55">
        <f>$C7*AX7</f>
        <v/>
      </c>
      <c r="AZ7" s="2">
        <f>AX7</f>
        <v/>
      </c>
      <c r="BA7" s="55">
        <f>$C7*AZ7</f>
        <v/>
      </c>
    </row>
    <row r="8">
      <c r="A8" s="48">
        <f>Реестр!D7</f>
        <v/>
      </c>
      <c r="B8" s="50">
        <f>Реестр!F7</f>
        <v/>
      </c>
      <c r="C8" s="53">
        <f>Реестр!H7</f>
        <v/>
      </c>
      <c r="D8" s="48" t="n"/>
      <c r="E8" s="55">
        <f>D8*$C8</f>
        <v/>
      </c>
      <c r="F8" s="2">
        <f>D8</f>
        <v/>
      </c>
      <c r="G8" s="55">
        <f>$C8*F8</f>
        <v/>
      </c>
      <c r="H8" s="56" t="n"/>
      <c r="I8" s="55">
        <f>$C8*H8</f>
        <v/>
      </c>
      <c r="J8" s="2">
        <f>H8</f>
        <v/>
      </c>
      <c r="K8" s="55">
        <f>$C8*J8</f>
        <v/>
      </c>
      <c r="L8" s="2">
        <f>J8</f>
        <v/>
      </c>
      <c r="M8" s="55">
        <f>$C8*L8</f>
        <v/>
      </c>
      <c r="N8" s="2">
        <f>L8</f>
        <v/>
      </c>
      <c r="O8" s="55">
        <f>$C8*N8</f>
        <v/>
      </c>
      <c r="P8" s="2">
        <f>N8</f>
        <v/>
      </c>
      <c r="Q8" s="55">
        <f>$C8*P8</f>
        <v/>
      </c>
      <c r="R8" s="2">
        <f>P8</f>
        <v/>
      </c>
      <c r="S8" s="55">
        <f>$C8*R8</f>
        <v/>
      </c>
      <c r="T8" s="2">
        <f>R8</f>
        <v/>
      </c>
      <c r="U8" s="55">
        <f>$C8*T8</f>
        <v/>
      </c>
      <c r="V8" s="2">
        <f>T8</f>
        <v/>
      </c>
      <c r="W8" s="55">
        <f>$C8*V8</f>
        <v/>
      </c>
      <c r="X8" s="2">
        <f>V8</f>
        <v/>
      </c>
      <c r="Y8" s="55">
        <f>$C8*X8</f>
        <v/>
      </c>
      <c r="Z8" s="2">
        <f>X8</f>
        <v/>
      </c>
      <c r="AA8" s="55">
        <f>$C8*Z8</f>
        <v/>
      </c>
      <c r="AB8" s="2">
        <f>Z8</f>
        <v/>
      </c>
      <c r="AC8" s="55">
        <f>$C8*AB8</f>
        <v/>
      </c>
      <c r="AD8" s="2">
        <f>AB8</f>
        <v/>
      </c>
      <c r="AE8" s="55">
        <f>$C8*AD8</f>
        <v/>
      </c>
      <c r="AF8" s="56" t="n"/>
      <c r="AG8" s="55">
        <f>$C8*AF8</f>
        <v/>
      </c>
      <c r="AH8" s="2">
        <f>AF8</f>
        <v/>
      </c>
      <c r="AI8" s="55">
        <f>$C8*AH8</f>
        <v/>
      </c>
      <c r="AJ8" s="2">
        <f>AH8</f>
        <v/>
      </c>
      <c r="AK8" s="55">
        <f>$C8*AJ8</f>
        <v/>
      </c>
      <c r="AL8" s="2">
        <f>AJ8</f>
        <v/>
      </c>
      <c r="AM8" s="55">
        <f>$C8*AL8</f>
        <v/>
      </c>
      <c r="AN8" s="2">
        <f>AL8</f>
        <v/>
      </c>
      <c r="AO8" s="55">
        <f>$C8*AN8</f>
        <v/>
      </c>
      <c r="AP8" s="2">
        <f>AN8</f>
        <v/>
      </c>
      <c r="AQ8" s="55">
        <f>$C8*AP8</f>
        <v/>
      </c>
      <c r="AR8" s="2">
        <f>AP8</f>
        <v/>
      </c>
      <c r="AS8" s="55">
        <f>$C8*AR8</f>
        <v/>
      </c>
      <c r="AT8" s="2">
        <f>AR8</f>
        <v/>
      </c>
      <c r="AU8" s="55">
        <f>$C8*AT8</f>
        <v/>
      </c>
      <c r="AV8" s="2">
        <f>AT8</f>
        <v/>
      </c>
      <c r="AW8" s="55">
        <f>$C8*AV8</f>
        <v/>
      </c>
      <c r="AX8" s="2">
        <f>AV8</f>
        <v/>
      </c>
      <c r="AY8" s="55">
        <f>$C8*AX8</f>
        <v/>
      </c>
      <c r="AZ8" s="2">
        <f>AX8</f>
        <v/>
      </c>
      <c r="BA8" s="55">
        <f>$C8*AZ8</f>
        <v/>
      </c>
    </row>
    <row r="9">
      <c r="A9" s="49">
        <f>Реестр!#REF!</f>
        <v/>
      </c>
      <c r="B9" s="52">
        <f>Реестр!#REF!</f>
        <v/>
      </c>
      <c r="C9" s="54">
        <f>Реестр!#REF!</f>
        <v/>
      </c>
      <c r="D9" s="49" t="n"/>
      <c r="E9" s="55">
        <f>D9*$C9</f>
        <v/>
      </c>
      <c r="F9" s="2">
        <f>D9</f>
        <v/>
      </c>
      <c r="G9" s="55">
        <f>$C9*F9</f>
        <v/>
      </c>
      <c r="H9" s="56" t="n"/>
      <c r="I9" s="55">
        <f>$C9*H9</f>
        <v/>
      </c>
      <c r="J9" s="2">
        <f>H9</f>
        <v/>
      </c>
      <c r="K9" s="55">
        <f>$C9*J9</f>
        <v/>
      </c>
      <c r="L9" s="2">
        <f>J9</f>
        <v/>
      </c>
      <c r="M9" s="55">
        <f>$C9*L9</f>
        <v/>
      </c>
      <c r="N9" s="2">
        <f>L9</f>
        <v/>
      </c>
      <c r="O9" s="55">
        <f>$C9*N9</f>
        <v/>
      </c>
      <c r="P9" s="2">
        <f>N9</f>
        <v/>
      </c>
      <c r="Q9" s="55">
        <f>$C9*P9</f>
        <v/>
      </c>
      <c r="R9" s="2">
        <f>P9</f>
        <v/>
      </c>
      <c r="S9" s="55">
        <f>$C9*R9</f>
        <v/>
      </c>
      <c r="T9" s="2">
        <f>R9</f>
        <v/>
      </c>
      <c r="U9" s="55">
        <f>$C9*T9</f>
        <v/>
      </c>
      <c r="V9" s="2">
        <f>T9</f>
        <v/>
      </c>
      <c r="W9" s="55">
        <f>$C9*V9</f>
        <v/>
      </c>
      <c r="X9" s="2">
        <f>V9</f>
        <v/>
      </c>
      <c r="Y9" s="55">
        <f>$C9*X9</f>
        <v/>
      </c>
      <c r="Z9" s="2">
        <f>X9</f>
        <v/>
      </c>
      <c r="AA9" s="55">
        <f>$C9*Z9</f>
        <v/>
      </c>
      <c r="AB9" s="2">
        <f>Z9</f>
        <v/>
      </c>
      <c r="AC9" s="55">
        <f>$C9*AB9</f>
        <v/>
      </c>
      <c r="AD9" s="2">
        <f>AB9</f>
        <v/>
      </c>
      <c r="AE9" s="55">
        <f>$C9*AD9</f>
        <v/>
      </c>
      <c r="AF9" s="56" t="n"/>
      <c r="AG9" s="55">
        <f>$C9*AF9</f>
        <v/>
      </c>
      <c r="AH9" s="2">
        <f>AF9</f>
        <v/>
      </c>
      <c r="AI9" s="55">
        <f>$C9*AH9</f>
        <v/>
      </c>
      <c r="AJ9" s="2">
        <f>AH9</f>
        <v/>
      </c>
      <c r="AK9" s="55">
        <f>$C9*AJ9</f>
        <v/>
      </c>
      <c r="AL9" s="2">
        <f>AJ9</f>
        <v/>
      </c>
      <c r="AM9" s="55">
        <f>$C9*AL9</f>
        <v/>
      </c>
      <c r="AN9" s="2">
        <f>AL9</f>
        <v/>
      </c>
      <c r="AO9" s="55">
        <f>$C9*AN9</f>
        <v/>
      </c>
      <c r="AP9" s="2">
        <f>AN9</f>
        <v/>
      </c>
      <c r="AQ9" s="55">
        <f>$C9*AP9</f>
        <v/>
      </c>
      <c r="AR9" s="2">
        <f>AP9</f>
        <v/>
      </c>
      <c r="AS9" s="55">
        <f>$C9*AR9</f>
        <v/>
      </c>
      <c r="AT9" s="2">
        <f>AR9</f>
        <v/>
      </c>
      <c r="AU9" s="55">
        <f>$C9*AT9</f>
        <v/>
      </c>
      <c r="AV9" s="2">
        <f>AT9</f>
        <v/>
      </c>
      <c r="AW9" s="55">
        <f>$C9*AV9</f>
        <v/>
      </c>
      <c r="AX9" s="2">
        <f>AV9</f>
        <v/>
      </c>
      <c r="AY9" s="55">
        <f>$C9*AX9</f>
        <v/>
      </c>
      <c r="AZ9" s="2">
        <f>AX9</f>
        <v/>
      </c>
      <c r="BA9" s="55">
        <f>$C9*AZ9</f>
        <v/>
      </c>
    </row>
    <row r="12">
      <c r="A12" s="1" t="n"/>
      <c r="B12" s="14" t="n"/>
      <c r="C12" s="14" t="n"/>
      <c r="D12" s="15" t="n"/>
      <c r="E12" s="16" t="n"/>
      <c r="G12" s="1" t="n"/>
      <c r="H12" s="1" t="n"/>
      <c r="J12" s="1" t="n"/>
      <c r="K12" s="1" t="n"/>
      <c r="M12" s="1" t="n"/>
      <c r="N12" s="1" t="n"/>
      <c r="P12" s="1" t="n"/>
      <c r="Q12" s="1" t="n"/>
      <c r="S12" s="1" t="n"/>
      <c r="T12" s="1" t="n"/>
      <c r="V12" s="1" t="n"/>
      <c r="W12" s="1" t="n"/>
      <c r="Y12" s="1" t="n"/>
      <c r="Z12" s="1" t="n"/>
      <c r="AB12" s="1" t="n"/>
      <c r="AC12" s="1" t="n"/>
      <c r="AE12" s="1" t="n"/>
      <c r="AF12" s="1" t="n"/>
      <c r="AH12" s="1" t="n"/>
      <c r="AI12" s="1" t="n"/>
      <c r="AK12" s="1" t="n"/>
      <c r="AL12" s="1" t="n"/>
      <c r="AN12" s="1" t="n"/>
      <c r="AO12" s="1" t="n"/>
      <c r="AQ12" s="1" t="n"/>
      <c r="AR12" s="1" t="n"/>
    </row>
    <row r="13">
      <c r="B13" s="1" t="n"/>
      <c r="E13" s="1" t="n"/>
      <c r="F13" s="16" t="n"/>
      <c r="H13" s="1" t="n"/>
      <c r="I13" s="1" t="n"/>
      <c r="K13" s="1" t="n"/>
      <c r="L13" s="1" t="n"/>
      <c r="N13" s="1" t="n"/>
      <c r="O13" s="1" t="n"/>
      <c r="Q13" s="1" t="n"/>
      <c r="R13" s="1" t="n"/>
      <c r="T13" s="1" t="n"/>
      <c r="U13" s="1" t="n"/>
      <c r="W13" s="1" t="n"/>
      <c r="X13" s="1" t="n"/>
      <c r="Z13" s="1" t="n"/>
      <c r="AA13" s="1" t="n"/>
      <c r="AC13" s="1" t="n"/>
      <c r="AD13" s="1" t="n"/>
      <c r="AF13" s="1" t="n"/>
      <c r="AG13" s="1" t="n"/>
      <c r="AI13" s="1" t="n"/>
      <c r="AJ13" s="1" t="n"/>
      <c r="AL13" s="1" t="n"/>
      <c r="AM13" s="1" t="n"/>
      <c r="AO13" s="1" t="n"/>
      <c r="AP13" s="1" t="n"/>
      <c r="AR13" s="1" t="n"/>
      <c r="AS13" s="1" t="n"/>
    </row>
    <row r="15">
      <c r="A15" t="inlineStr">
        <is>
          <t>30 или 1 го выставляется до 5 го увед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P11" sqref="P1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D12"/>
  <sheetViews>
    <sheetView tabSelected="1" topLeftCell="I1" workbookViewId="0">
      <selection activeCell="P9" sqref="P9"/>
    </sheetView>
  </sheetViews>
  <sheetFormatPr baseColWidth="8" defaultColWidth="11.42578125" defaultRowHeight="15"/>
  <cols>
    <col width="13" customWidth="1" min="13" max="13"/>
    <col width="25" customWidth="1" min="16" max="16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245077</v>
      </c>
      <c r="I3" s="22">
        <f>H3-E3</f>
        <v/>
      </c>
      <c r="J3" s="23">
        <f>I3*J4</f>
        <v/>
      </c>
      <c r="K3" s="21" t="n">
        <v>123456</v>
      </c>
      <c r="L3" s="22">
        <f>K3-H3</f>
        <v/>
      </c>
      <c r="M3" s="23">
        <f>L3*M4</f>
        <v/>
      </c>
      <c r="N3" s="21" t="inlineStr">
        <is>
          <t>123456</t>
        </is>
      </c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32477</v>
      </c>
      <c r="I5" s="22">
        <f>H5-E5</f>
        <v/>
      </c>
      <c r="J5" s="23">
        <f>I5*J6</f>
        <v/>
      </c>
      <c r="K5" s="21" t="n">
        <v>24690</v>
      </c>
      <c r="L5" s="22">
        <f>K5-H5</f>
        <v/>
      </c>
      <c r="M5" s="23">
        <f>L5*M6</f>
        <v/>
      </c>
      <c r="N5" s="21" t="inlineStr">
        <is>
          <t>12345</t>
        </is>
      </c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17877</v>
      </c>
      <c r="I7" s="22">
        <f>H7-E7</f>
        <v/>
      </c>
      <c r="J7" s="69">
        <f>J8*I7</f>
        <v/>
      </c>
      <c r="K7" s="67" t="inlineStr">
        <is>
          <t>12345</t>
        </is>
      </c>
      <c r="L7" s="22">
        <f>K7-H7</f>
        <v/>
      </c>
      <c r="M7" s="69">
        <f>M8*L7</f>
        <v/>
      </c>
      <c r="N7" s="67" t="inlineStr">
        <is>
          <t>12345</t>
        </is>
      </c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>
        <v>231</v>
      </c>
      <c r="O9" s="22">
        <f>N9-K9</f>
        <v/>
      </c>
      <c r="P9" s="23" t="n">
        <v>123</v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B11" t="inlineStr">
        <is>
          <t xml:space="preserve"> 123, 1234, 123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B11" t="inlineStr">
        <is>
          <t xml:space="preserve"> 34556778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>
        <v>1234</v>
      </c>
      <c r="L9" s="22">
        <f>K9-H9</f>
        <v/>
      </c>
      <c r="M9" s="23" t="n">
        <v>12</v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>
        <v>4123</v>
      </c>
      <c r="O9" s="22">
        <f>N9-K9</f>
        <v/>
      </c>
      <c r="P9" s="23" t="n">
        <v>1423</v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inlineStr">
        <is>
          <t>123456</t>
        </is>
      </c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inlineStr">
        <is>
          <t>12345</t>
        </is>
      </c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inlineStr">
        <is>
          <t>12345</t>
        </is>
      </c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>
        <v>1343</v>
      </c>
      <c r="O9" s="22">
        <f>N9-K9</f>
        <v/>
      </c>
      <c r="P9" s="23" t="n">
        <v>2314</v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inlineStr">
        <is>
          <t>456789</t>
        </is>
      </c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inlineStr">
        <is>
          <t>34567</t>
        </is>
      </c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inlineStr">
        <is>
          <t>56789</t>
        </is>
      </c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>
        <v>3232</v>
      </c>
      <c r="O9" s="22">
        <f>N9-K9</f>
        <v/>
      </c>
      <c r="P9" s="23" t="n">
        <v>3321</v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D12"/>
  <sheetViews>
    <sheetView workbookViewId="0">
      <selection activeCell="A1" sqref="A1"/>
    </sheetView>
  </sheetViews>
  <sheetFormatPr baseColWidth="8" defaultColWidth="11.42578125" defaultRowHeight="15"/>
  <cols>
    <col width="13" customWidth="1" min="13" max="13"/>
  </cols>
  <sheetData>
    <row r="1">
      <c r="A1" s="33" t="inlineStr">
        <is>
          <t>ИНН</t>
        </is>
      </c>
      <c r="B1" s="33">
        <f>[1]Реестр!D2</f>
        <v/>
      </c>
      <c r="C1" s="18" t="inlineStr">
        <is>
          <t>Месяц</t>
        </is>
      </c>
      <c r="D1" s="19" t="n">
        <v>45962</v>
      </c>
      <c r="E1" s="19" t="n">
        <v>45992</v>
      </c>
      <c r="F1" s="74" t="inlineStr">
        <is>
          <t>Потребл.</t>
        </is>
      </c>
      <c r="G1" s="75" t="n">
        <v>45962</v>
      </c>
      <c r="H1" s="19" t="n">
        <v>46023</v>
      </c>
      <c r="I1" s="74" t="inlineStr">
        <is>
          <t>Потребл.</t>
        </is>
      </c>
      <c r="J1" s="75" t="n">
        <v>45992</v>
      </c>
      <c r="K1" s="19" t="n">
        <v>46054</v>
      </c>
      <c r="L1" s="74" t="inlineStr">
        <is>
          <t>Потребл.</t>
        </is>
      </c>
      <c r="M1" s="75" t="n">
        <v>46023</v>
      </c>
      <c r="N1" s="19" t="n">
        <v>46082</v>
      </c>
      <c r="O1" s="74" t="inlineStr">
        <is>
          <t>Потребл.</t>
        </is>
      </c>
      <c r="P1" s="75" t="n">
        <v>46054</v>
      </c>
      <c r="Q1" s="19" t="n">
        <v>46113</v>
      </c>
      <c r="R1" s="74" t="inlineStr">
        <is>
          <t>Потребл.</t>
        </is>
      </c>
      <c r="S1" s="75" t="n">
        <v>46082</v>
      </c>
      <c r="T1" s="19" t="n">
        <v>46143</v>
      </c>
      <c r="U1" s="74" t="inlineStr">
        <is>
          <t>Потребл.</t>
        </is>
      </c>
      <c r="V1" s="75" t="n">
        <v>46113</v>
      </c>
      <c r="W1" s="19" t="n">
        <v>46174</v>
      </c>
      <c r="X1" s="74" t="inlineStr">
        <is>
          <t>Потребл.</t>
        </is>
      </c>
      <c r="Y1" s="75" t="n">
        <v>46143</v>
      </c>
      <c r="Z1" s="19" t="n">
        <v>46204</v>
      </c>
      <c r="AA1" s="74" t="inlineStr">
        <is>
          <t>Потребл.</t>
        </is>
      </c>
      <c r="AB1" s="75" t="n">
        <v>46174</v>
      </c>
      <c r="AC1" s="19" t="n">
        <v>46235</v>
      </c>
      <c r="AD1" s="74" t="inlineStr">
        <is>
          <t>Потребл.</t>
        </is>
      </c>
      <c r="AE1" s="75" t="n">
        <v>46204</v>
      </c>
      <c r="AF1" s="19" t="n">
        <v>46266</v>
      </c>
      <c r="AG1" s="74" t="inlineStr">
        <is>
          <t>Потребл.</t>
        </is>
      </c>
      <c r="AH1" s="75" t="n">
        <v>46235</v>
      </c>
      <c r="AI1" s="19" t="n">
        <v>46296</v>
      </c>
      <c r="AJ1" s="74" t="inlineStr">
        <is>
          <t>Потребл.</t>
        </is>
      </c>
      <c r="AK1" s="75" t="n">
        <v>46266</v>
      </c>
      <c r="AL1" s="19" t="n">
        <v>46327</v>
      </c>
      <c r="AM1" s="74" t="inlineStr">
        <is>
          <t>Потребл.</t>
        </is>
      </c>
      <c r="AN1" s="75" t="n">
        <v>46296</v>
      </c>
      <c r="AO1" s="19" t="n">
        <v>46357</v>
      </c>
      <c r="AP1" s="74" t="inlineStr">
        <is>
          <t>Потребл.</t>
        </is>
      </c>
      <c r="AQ1" s="75" t="n">
        <v>46327</v>
      </c>
      <c r="AR1" s="19" t="n">
        <v>46388</v>
      </c>
      <c r="AS1" s="74" t="inlineStr">
        <is>
          <t>Потребл.</t>
        </is>
      </c>
      <c r="AT1" s="75" t="n">
        <v>46357</v>
      </c>
      <c r="AU1" s="19" t="n">
        <v>46419</v>
      </c>
      <c r="AV1" s="74" t="inlineStr">
        <is>
          <t>Потребл.</t>
        </is>
      </c>
      <c r="AW1" s="75" t="n">
        <v>46388</v>
      </c>
      <c r="AX1" s="19" t="n">
        <v>46447</v>
      </c>
      <c r="AY1" s="74" t="inlineStr">
        <is>
          <t>Потребл.</t>
        </is>
      </c>
      <c r="AZ1" s="75" t="n">
        <v>46419</v>
      </c>
      <c r="BA1" s="19" t="n">
        <v>46478</v>
      </c>
      <c r="BB1" s="74" t="inlineStr">
        <is>
          <t>Потребл.</t>
        </is>
      </c>
      <c r="BC1" s="75" t="n">
        <v>46447</v>
      </c>
      <c r="BD1" s="19" t="n">
        <v>46508</v>
      </c>
      <c r="BE1" s="74" t="inlineStr">
        <is>
          <t>Потребл.</t>
        </is>
      </c>
      <c r="BF1" s="75" t="n">
        <v>46478</v>
      </c>
      <c r="BG1" s="19" t="n">
        <v>46539</v>
      </c>
      <c r="BH1" s="74" t="inlineStr">
        <is>
          <t>Потребл.</t>
        </is>
      </c>
      <c r="BI1" s="75" t="n">
        <v>46508</v>
      </c>
      <c r="BJ1" s="19" t="n">
        <v>46569</v>
      </c>
      <c r="BK1" s="74" t="inlineStr">
        <is>
          <t>Потребл.</t>
        </is>
      </c>
      <c r="BL1" s="75" t="n">
        <v>46539</v>
      </c>
      <c r="BM1" s="19" t="n">
        <v>46600</v>
      </c>
      <c r="BN1" s="74" t="inlineStr">
        <is>
          <t>Потребл.</t>
        </is>
      </c>
      <c r="BO1" s="75" t="n">
        <v>46569</v>
      </c>
      <c r="BP1" s="19" t="n">
        <v>46631</v>
      </c>
      <c r="BQ1" s="74" t="inlineStr">
        <is>
          <t>Потребл.</t>
        </is>
      </c>
      <c r="BR1" s="75" t="n">
        <v>46600</v>
      </c>
      <c r="BS1" s="19" t="n">
        <v>46661</v>
      </c>
      <c r="BT1" s="74" t="inlineStr">
        <is>
          <t>Потребл.</t>
        </is>
      </c>
      <c r="BU1" s="75" t="n">
        <v>46631</v>
      </c>
      <c r="BV1" s="19" t="n">
        <v>46692</v>
      </c>
      <c r="BW1" s="74" t="inlineStr">
        <is>
          <t>Потребл.</t>
        </is>
      </c>
      <c r="BX1" s="75" t="n">
        <v>46661</v>
      </c>
      <c r="BY1" s="19" t="n">
        <v>46722</v>
      </c>
      <c r="BZ1" s="74" t="inlineStr">
        <is>
          <t>Потребл.</t>
        </is>
      </c>
      <c r="CA1" s="75" t="n">
        <v>46692</v>
      </c>
      <c r="CB1" s="19" t="n">
        <v>46753</v>
      </c>
      <c r="CC1" s="74" t="inlineStr">
        <is>
          <t>Потребл.</t>
        </is>
      </c>
      <c r="CD1" s="75" t="n">
        <v>46722</v>
      </c>
    </row>
    <row r="2">
      <c r="A2" s="33" t="inlineStr">
        <is>
          <t>Кадастр</t>
        </is>
      </c>
      <c r="B2" s="33">
        <f>[2]Реестр!B2</f>
        <v/>
      </c>
      <c r="C2" s="74" t="n"/>
      <c r="D2" s="17" t="inlineStr">
        <is>
          <t>знач.</t>
        </is>
      </c>
      <c r="E2" s="17" t="inlineStr">
        <is>
          <t>знач.</t>
        </is>
      </c>
      <c r="F2" s="17" t="inlineStr">
        <is>
          <t>знач.</t>
        </is>
      </c>
      <c r="G2" s="17" t="inlineStr">
        <is>
          <t>руб.</t>
        </is>
      </c>
      <c r="H2" s="17" t="inlineStr">
        <is>
          <t>знач.</t>
        </is>
      </c>
      <c r="I2" s="17" t="inlineStr">
        <is>
          <t>знач.</t>
        </is>
      </c>
      <c r="J2" s="17" t="inlineStr">
        <is>
          <t>руб.</t>
        </is>
      </c>
      <c r="K2" s="17" t="inlineStr">
        <is>
          <t>знач.</t>
        </is>
      </c>
      <c r="L2" s="17" t="inlineStr">
        <is>
          <t>знач.</t>
        </is>
      </c>
      <c r="M2" s="17" t="inlineStr">
        <is>
          <t>руб.</t>
        </is>
      </c>
      <c r="N2" s="17" t="inlineStr">
        <is>
          <t>знач.</t>
        </is>
      </c>
      <c r="O2" s="17" t="inlineStr">
        <is>
          <t>знач</t>
        </is>
      </c>
      <c r="P2" s="17" t="inlineStr">
        <is>
          <t>руб.</t>
        </is>
      </c>
      <c r="Q2" s="17" t="inlineStr">
        <is>
          <t>знач.</t>
        </is>
      </c>
      <c r="R2" s="17" t="inlineStr">
        <is>
          <t>знач.</t>
        </is>
      </c>
      <c r="S2" s="17" t="inlineStr">
        <is>
          <t>руб.</t>
        </is>
      </c>
      <c r="T2" s="17" t="inlineStr">
        <is>
          <t>знач.</t>
        </is>
      </c>
      <c r="U2" s="17" t="inlineStr">
        <is>
          <t>знач.</t>
        </is>
      </c>
      <c r="V2" s="17" t="inlineStr">
        <is>
          <t>руб.</t>
        </is>
      </c>
      <c r="W2" s="17" t="inlineStr">
        <is>
          <t>знач.</t>
        </is>
      </c>
      <c r="X2" s="17" t="inlineStr">
        <is>
          <t>знач.</t>
        </is>
      </c>
      <c r="Y2" s="17" t="inlineStr">
        <is>
          <t>руб.</t>
        </is>
      </c>
      <c r="Z2" s="17" t="inlineStr">
        <is>
          <t>знач.</t>
        </is>
      </c>
      <c r="AA2" s="17" t="inlineStr">
        <is>
          <t>знач.</t>
        </is>
      </c>
      <c r="AB2" s="17" t="inlineStr">
        <is>
          <t>руб.</t>
        </is>
      </c>
      <c r="AC2" s="17" t="inlineStr">
        <is>
          <t>знач.</t>
        </is>
      </c>
      <c r="AD2" s="17" t="inlineStr">
        <is>
          <t>знач.</t>
        </is>
      </c>
      <c r="AE2" s="17" t="inlineStr">
        <is>
          <t>руб.</t>
        </is>
      </c>
      <c r="AF2" s="17" t="inlineStr">
        <is>
          <t>знач.</t>
        </is>
      </c>
      <c r="AG2" s="17" t="inlineStr">
        <is>
          <t>знач.</t>
        </is>
      </c>
      <c r="AH2" s="17" t="inlineStr">
        <is>
          <t>руб.</t>
        </is>
      </c>
      <c r="AI2" s="17" t="inlineStr">
        <is>
          <t>знач.</t>
        </is>
      </c>
      <c r="AJ2" s="17" t="inlineStr">
        <is>
          <t>знач.</t>
        </is>
      </c>
      <c r="AK2" s="17" t="inlineStr">
        <is>
          <t>руб.</t>
        </is>
      </c>
      <c r="AL2" s="17" t="inlineStr">
        <is>
          <t>знач.</t>
        </is>
      </c>
      <c r="AM2" s="17" t="inlineStr">
        <is>
          <t>знач.</t>
        </is>
      </c>
      <c r="AN2" s="17" t="inlineStr">
        <is>
          <t>руб.</t>
        </is>
      </c>
      <c r="AO2" s="17" t="inlineStr">
        <is>
          <t>знач.</t>
        </is>
      </c>
      <c r="AP2" s="17" t="inlineStr">
        <is>
          <t>знач.</t>
        </is>
      </c>
      <c r="AQ2" s="17" t="inlineStr">
        <is>
          <t>руб.</t>
        </is>
      </c>
      <c r="AR2" s="17" t="inlineStr">
        <is>
          <t>знач.</t>
        </is>
      </c>
      <c r="AS2" s="17" t="inlineStr">
        <is>
          <t>знач.</t>
        </is>
      </c>
      <c r="AT2" s="17" t="inlineStr">
        <is>
          <t>руб.</t>
        </is>
      </c>
      <c r="AU2" s="17" t="inlineStr">
        <is>
          <t>знач.</t>
        </is>
      </c>
      <c r="AV2" s="17" t="inlineStr">
        <is>
          <t>знач.</t>
        </is>
      </c>
      <c r="AW2" s="17" t="inlineStr">
        <is>
          <t>руб.</t>
        </is>
      </c>
      <c r="AX2" s="17" t="inlineStr">
        <is>
          <t>знач.</t>
        </is>
      </c>
      <c r="AY2" s="17" t="inlineStr">
        <is>
          <t>знач.</t>
        </is>
      </c>
      <c r="AZ2" s="17" t="inlineStr">
        <is>
          <t>руб.</t>
        </is>
      </c>
      <c r="BA2" s="17" t="inlineStr">
        <is>
          <t>знач.</t>
        </is>
      </c>
      <c r="BB2" s="17" t="inlineStr">
        <is>
          <t>знач.</t>
        </is>
      </c>
      <c r="BC2" s="17" t="inlineStr">
        <is>
          <t>руб.</t>
        </is>
      </c>
      <c r="BD2" s="17" t="inlineStr">
        <is>
          <t>знач.</t>
        </is>
      </c>
      <c r="BE2" s="17" t="inlineStr">
        <is>
          <t>знач.</t>
        </is>
      </c>
      <c r="BF2" s="17" t="inlineStr">
        <is>
          <t>руб.</t>
        </is>
      </c>
      <c r="BG2" s="17" t="inlineStr">
        <is>
          <t>знач.</t>
        </is>
      </c>
      <c r="BH2" s="17" t="inlineStr">
        <is>
          <t>знач.</t>
        </is>
      </c>
      <c r="BI2" s="17" t="inlineStr">
        <is>
          <t>руб.</t>
        </is>
      </c>
      <c r="BJ2" s="17" t="inlineStr">
        <is>
          <t>знач.</t>
        </is>
      </c>
      <c r="BK2" s="17" t="inlineStr">
        <is>
          <t>знач.</t>
        </is>
      </c>
      <c r="BL2" s="17" t="inlineStr">
        <is>
          <t>руб.</t>
        </is>
      </c>
      <c r="BM2" s="17" t="inlineStr">
        <is>
          <t>знач.</t>
        </is>
      </c>
      <c r="BN2" s="17" t="inlineStr">
        <is>
          <t>знач.</t>
        </is>
      </c>
      <c r="BO2" s="17" t="inlineStr">
        <is>
          <t>руб.</t>
        </is>
      </c>
      <c r="BP2" s="17" t="inlineStr">
        <is>
          <t>знач.</t>
        </is>
      </c>
      <c r="BQ2" s="17" t="inlineStr">
        <is>
          <t>знач.</t>
        </is>
      </c>
      <c r="BR2" s="17" t="inlineStr">
        <is>
          <t>руб.</t>
        </is>
      </c>
      <c r="BS2" s="17" t="inlineStr">
        <is>
          <t>знач.</t>
        </is>
      </c>
      <c r="BT2" s="17" t="inlineStr">
        <is>
          <t>знач.</t>
        </is>
      </c>
      <c r="BU2" s="17" t="inlineStr">
        <is>
          <t>руб.</t>
        </is>
      </c>
      <c r="BV2" s="17" t="inlineStr">
        <is>
          <t>знач.</t>
        </is>
      </c>
      <c r="BW2" s="17" t="inlineStr">
        <is>
          <t>знач.</t>
        </is>
      </c>
      <c r="BX2" s="17" t="inlineStr">
        <is>
          <t>руб.</t>
        </is>
      </c>
      <c r="BY2" s="17" t="inlineStr">
        <is>
          <t>знач.</t>
        </is>
      </c>
      <c r="BZ2" s="17" t="inlineStr">
        <is>
          <t>знач.</t>
        </is>
      </c>
      <c r="CA2" s="17" t="inlineStr">
        <is>
          <t>руб.</t>
        </is>
      </c>
      <c r="CB2" s="17" t="inlineStr">
        <is>
          <t>знач.</t>
        </is>
      </c>
      <c r="CC2" s="17" t="inlineStr">
        <is>
          <t>знач.</t>
        </is>
      </c>
      <c r="CD2" s="17" t="inlineStr">
        <is>
          <t>руб.</t>
        </is>
      </c>
    </row>
    <row r="3" ht="30" customHeight="1">
      <c r="A3" s="33" t="inlineStr">
        <is>
          <t>Арендатор</t>
        </is>
      </c>
      <c r="B3" s="34">
        <f>[2]Реестр!F2</f>
        <v/>
      </c>
      <c r="C3" s="20" t="inlineStr">
        <is>
          <t>Электричество</t>
        </is>
      </c>
      <c r="D3" s="21" t="n">
        <v>0</v>
      </c>
      <c r="E3" s="21" t="n">
        <v>0</v>
      </c>
      <c r="F3" s="22">
        <f>E3-D3</f>
        <v/>
      </c>
      <c r="G3" s="23">
        <f>F3*G4</f>
        <v/>
      </c>
      <c r="H3" s="21" t="n">
        <v>0</v>
      </c>
      <c r="I3" s="22">
        <f>H3-E3</f>
        <v/>
      </c>
      <c r="J3" s="23">
        <f>I3*J4</f>
        <v/>
      </c>
      <c r="K3" s="21" t="n">
        <v>0</v>
      </c>
      <c r="L3" s="22">
        <f>K3-H3</f>
        <v/>
      </c>
      <c r="M3" s="23">
        <f>L3*M4</f>
        <v/>
      </c>
      <c r="N3" s="21" t="n"/>
      <c r="O3" s="22">
        <f>N3-K3</f>
        <v/>
      </c>
      <c r="P3" s="23">
        <f>O3*P4</f>
        <v/>
      </c>
      <c r="Q3" s="21" t="n"/>
      <c r="R3" s="22">
        <f>Q3-N3</f>
        <v/>
      </c>
      <c r="S3" s="23">
        <f>R3*S4</f>
        <v/>
      </c>
      <c r="T3" s="21" t="n"/>
      <c r="U3" s="22">
        <f>T3-Q3</f>
        <v/>
      </c>
      <c r="V3" s="23">
        <f>U3*V4</f>
        <v/>
      </c>
      <c r="W3" s="21" t="n"/>
      <c r="X3" s="22">
        <f>W3-T3</f>
        <v/>
      </c>
      <c r="Y3" s="23">
        <f>X3*Y4</f>
        <v/>
      </c>
      <c r="Z3" s="21" t="n"/>
      <c r="AA3" s="22">
        <f>Z3-W3</f>
        <v/>
      </c>
      <c r="AB3" s="23">
        <f>AA3*AB4</f>
        <v/>
      </c>
      <c r="AC3" s="21" t="n"/>
      <c r="AD3" s="22">
        <f>AC3-Z3</f>
        <v/>
      </c>
      <c r="AE3" s="23">
        <f>AD3*AE4</f>
        <v/>
      </c>
      <c r="AF3" s="21" t="n"/>
      <c r="AG3" s="22">
        <f>AF3-AC3</f>
        <v/>
      </c>
      <c r="AH3" s="23">
        <f>AG3*AH4</f>
        <v/>
      </c>
      <c r="AI3" s="21" t="n"/>
      <c r="AJ3" s="22">
        <f>AI3-AF3</f>
        <v/>
      </c>
      <c r="AK3" s="23">
        <f>AJ3*AK4</f>
        <v/>
      </c>
      <c r="AL3" s="21" t="n"/>
      <c r="AM3" s="22">
        <f>AL3-AI3</f>
        <v/>
      </c>
      <c r="AN3" s="23">
        <f>AM3*AN4</f>
        <v/>
      </c>
      <c r="AO3" s="21" t="n"/>
      <c r="AP3" s="22">
        <f>AO3-AL3</f>
        <v/>
      </c>
      <c r="AQ3" s="23">
        <f>AP3*AQ4</f>
        <v/>
      </c>
      <c r="AR3" s="21" t="n"/>
      <c r="AS3" s="22">
        <f>AR3-AO3</f>
        <v/>
      </c>
      <c r="AT3" s="23">
        <f>AS3*AT4</f>
        <v/>
      </c>
      <c r="AU3" s="21" t="n"/>
      <c r="AV3" s="22">
        <f>AU3-AR3</f>
        <v/>
      </c>
      <c r="AW3" s="23">
        <f>AV3*AW4</f>
        <v/>
      </c>
      <c r="AX3" s="21" t="n"/>
      <c r="AY3" s="22">
        <f>AX3-AU3</f>
        <v/>
      </c>
      <c r="AZ3" s="23">
        <f>AY3*AZ4</f>
        <v/>
      </c>
      <c r="BA3" s="21" t="n"/>
      <c r="BB3" s="22">
        <f>BA3-AX3</f>
        <v/>
      </c>
      <c r="BC3" s="23">
        <f>BB3*BC4</f>
        <v/>
      </c>
      <c r="BD3" s="21" t="n"/>
      <c r="BE3" s="22">
        <f>BD3-BA3</f>
        <v/>
      </c>
      <c r="BF3" s="23">
        <f>BE3*BF4</f>
        <v/>
      </c>
      <c r="BG3" s="21" t="n"/>
      <c r="BH3" s="22">
        <f>BG3-BD3</f>
        <v/>
      </c>
      <c r="BI3" s="23">
        <f>BH3*BI4</f>
        <v/>
      </c>
      <c r="BJ3" s="21" t="n"/>
      <c r="BK3" s="22">
        <f>BJ3-BG3</f>
        <v/>
      </c>
      <c r="BL3" s="23">
        <f>BK3*BL4</f>
        <v/>
      </c>
      <c r="BM3" s="21" t="n"/>
      <c r="BN3" s="22">
        <f>BM3-BJ3</f>
        <v/>
      </c>
      <c r="BO3" s="23">
        <f>BN3*BO4</f>
        <v/>
      </c>
      <c r="BP3" s="21" t="n"/>
      <c r="BQ3" s="22">
        <f>BP3-BM3</f>
        <v/>
      </c>
      <c r="BR3" s="23">
        <f>BQ3*BR4</f>
        <v/>
      </c>
      <c r="BS3" s="21" t="n"/>
      <c r="BT3" s="22">
        <f>BS3-BP3</f>
        <v/>
      </c>
      <c r="BU3" s="23">
        <f>BT3*BU4</f>
        <v/>
      </c>
      <c r="BV3" s="21" t="n"/>
      <c r="BW3" s="22">
        <f>BV3-BS3</f>
        <v/>
      </c>
      <c r="BX3" s="23">
        <f>BW3*BX4</f>
        <v/>
      </c>
      <c r="BY3" s="21" t="n"/>
      <c r="BZ3" s="22">
        <f>BY3-BV3</f>
        <v/>
      </c>
      <c r="CA3" s="23">
        <f>BZ3*CA4</f>
        <v/>
      </c>
      <c r="CB3" s="21" t="n"/>
      <c r="CC3" s="22">
        <f>CB3-BY3</f>
        <v/>
      </c>
      <c r="CD3" s="23">
        <f>CC3*CD4</f>
        <v/>
      </c>
    </row>
    <row r="4" ht="30" customHeight="1">
      <c r="A4" s="33" t="inlineStr">
        <is>
          <t>Площадь</t>
        </is>
      </c>
      <c r="B4" s="34">
        <f>[2]Реестр!H2</f>
        <v/>
      </c>
      <c r="C4" s="20" t="inlineStr">
        <is>
          <t>Электричество тариф</t>
        </is>
      </c>
      <c r="D4" s="24" t="n"/>
      <c r="E4" s="24" t="n"/>
      <c r="F4" s="24" t="n"/>
      <c r="G4" s="25">
        <f>'[1]0. ГИРА'!G4</f>
        <v/>
      </c>
      <c r="H4" s="24" t="n"/>
      <c r="I4" s="24" t="n"/>
      <c r="J4" s="25">
        <f>'[1]0. ГИРА'!J4</f>
        <v/>
      </c>
      <c r="K4" s="24" t="n"/>
      <c r="L4" s="24" t="n"/>
      <c r="M4" s="25">
        <f>'[1]0. ГИРА'!M4</f>
        <v/>
      </c>
      <c r="N4" s="24" t="n"/>
      <c r="O4" s="24" t="n"/>
      <c r="P4" s="25">
        <f>'[1]0. ГИРА'!P4</f>
        <v/>
      </c>
      <c r="Q4" s="24" t="n"/>
      <c r="R4" s="24" t="n"/>
      <c r="S4" s="25">
        <f>'[1]0. ГИРА'!S4</f>
        <v/>
      </c>
      <c r="T4" s="24" t="n"/>
      <c r="U4" s="24" t="n"/>
      <c r="V4" s="25">
        <f>'[1]0. ГИРА'!V4</f>
        <v/>
      </c>
      <c r="W4" s="24" t="n"/>
      <c r="X4" s="24" t="n"/>
      <c r="Y4" s="25">
        <f>'[1]0. ГИРА'!Y4</f>
        <v/>
      </c>
      <c r="Z4" s="24" t="n"/>
      <c r="AA4" s="24" t="n"/>
      <c r="AB4" s="25">
        <f>'[1]0. ГИРА'!AB4</f>
        <v/>
      </c>
      <c r="AC4" s="24" t="n"/>
      <c r="AD4" s="24" t="n"/>
      <c r="AE4" s="25">
        <f>'[1]0. ГИРА'!AE4</f>
        <v/>
      </c>
      <c r="AF4" s="24" t="n"/>
      <c r="AG4" s="24" t="n"/>
      <c r="AH4" s="25">
        <f>'[1]0. ГИРА'!AH4</f>
        <v/>
      </c>
      <c r="AI4" s="24" t="n"/>
      <c r="AJ4" s="24" t="n"/>
      <c r="AK4" s="25">
        <f>'[1]0. ГИРА'!AK4</f>
        <v/>
      </c>
      <c r="AL4" s="24" t="n"/>
      <c r="AM4" s="24" t="n"/>
      <c r="AN4" s="25">
        <f>'[1]0. ГИРА'!AN4</f>
        <v/>
      </c>
      <c r="AO4" s="24" t="n"/>
      <c r="AP4" s="24" t="n"/>
      <c r="AQ4" s="25">
        <f>'[1]0. ГИРА'!AQ4</f>
        <v/>
      </c>
      <c r="AR4" s="24" t="n"/>
      <c r="AS4" s="24" t="n"/>
      <c r="AT4" s="25">
        <f>'[1]0. ГИРА'!AT4</f>
        <v/>
      </c>
      <c r="AU4" s="24" t="n"/>
      <c r="AV4" s="24" t="n"/>
      <c r="AW4" s="25">
        <f>'[1]0. ГИРА'!AW4</f>
        <v/>
      </c>
      <c r="AX4" s="24" t="n"/>
      <c r="AY4" s="24" t="n"/>
      <c r="AZ4" s="25">
        <f>'[1]0. ГИРА'!AZ4</f>
        <v/>
      </c>
      <c r="BA4" s="24" t="n"/>
      <c r="BB4" s="24" t="n"/>
      <c r="BC4" s="25">
        <f>'[1]0. ГИРА'!BC4</f>
        <v/>
      </c>
      <c r="BD4" s="24" t="n"/>
      <c r="BE4" s="24" t="n"/>
      <c r="BF4" s="25">
        <f>'[1]0. ГИРА'!BF4</f>
        <v/>
      </c>
      <c r="BG4" s="24" t="n"/>
      <c r="BH4" s="24" t="n"/>
      <c r="BI4" s="25">
        <f>'[1]0. ГИРА'!BI4</f>
        <v/>
      </c>
      <c r="BJ4" s="24" t="n"/>
      <c r="BK4" s="24" t="n"/>
      <c r="BL4" s="25">
        <f>'[1]0. ГИРА'!BL4</f>
        <v/>
      </c>
      <c r="BM4" s="24" t="n"/>
      <c r="BN4" s="24" t="n"/>
      <c r="BO4" s="25">
        <f>'[1]0. ГИРА'!BO4</f>
        <v/>
      </c>
      <c r="BP4" s="24" t="n"/>
      <c r="BQ4" s="24" t="n"/>
      <c r="BR4" s="25">
        <f>'[1]0. ГИРА'!BR4</f>
        <v/>
      </c>
      <c r="BS4" s="24" t="n"/>
      <c r="BT4" s="24" t="n"/>
      <c r="BU4" s="25">
        <f>'[1]0. ГИРА'!BU4</f>
        <v/>
      </c>
      <c r="BV4" s="24" t="n"/>
      <c r="BW4" s="24" t="n"/>
      <c r="BX4" s="25">
        <f>'[1]0. ГИРА'!BX4</f>
        <v/>
      </c>
      <c r="BY4" s="24" t="n"/>
      <c r="BZ4" s="24" t="n"/>
      <c r="CA4" s="25">
        <f>'[1]0. ГИРА'!CA4</f>
        <v/>
      </c>
      <c r="CB4" s="24" t="n"/>
      <c r="CC4" s="24" t="n"/>
      <c r="CD4" s="25">
        <f>'[1]0. ГИРА'!CD4</f>
        <v/>
      </c>
    </row>
    <row r="5" ht="45" customHeight="1">
      <c r="C5" s="30" t="inlineStr">
        <is>
          <t>Водоканал холодная вода</t>
        </is>
      </c>
      <c r="D5" s="21" t="n">
        <v>0</v>
      </c>
      <c r="E5" s="21" t="n">
        <v>0</v>
      </c>
      <c r="F5" s="22">
        <f>E5-D5</f>
        <v/>
      </c>
      <c r="G5" s="23" t="n"/>
      <c r="H5" s="21" t="n">
        <v>0</v>
      </c>
      <c r="I5" s="22">
        <f>H5-E5</f>
        <v/>
      </c>
      <c r="J5" s="23">
        <f>I5*J6</f>
        <v/>
      </c>
      <c r="K5" s="21" t="n">
        <v>0</v>
      </c>
      <c r="L5" s="22">
        <f>K5-H5</f>
        <v/>
      </c>
      <c r="M5" s="23">
        <f>L5*M6</f>
        <v/>
      </c>
      <c r="N5" s="21" t="n"/>
      <c r="O5" s="22">
        <f>N5-K5</f>
        <v/>
      </c>
      <c r="P5" s="23" t="n"/>
      <c r="Q5" s="21" t="n"/>
      <c r="R5" s="22">
        <f>Q5-N5</f>
        <v/>
      </c>
      <c r="S5" s="23" t="n"/>
      <c r="T5" s="21" t="n"/>
      <c r="U5" s="22">
        <f>T5-Q5</f>
        <v/>
      </c>
      <c r="V5" s="23" t="n"/>
      <c r="W5" s="21" t="n"/>
      <c r="X5" s="22">
        <f>W5-T5</f>
        <v/>
      </c>
      <c r="Y5" s="23" t="n"/>
      <c r="Z5" s="21" t="n"/>
      <c r="AA5" s="22">
        <f>Z5-W5</f>
        <v/>
      </c>
      <c r="AB5" s="23" t="n"/>
      <c r="AC5" s="21" t="n"/>
      <c r="AD5" s="22">
        <f>AC5-Z5</f>
        <v/>
      </c>
      <c r="AE5" s="23" t="n"/>
      <c r="AF5" s="21" t="n"/>
      <c r="AG5" s="22">
        <f>AF5-AC5</f>
        <v/>
      </c>
      <c r="AH5" s="23" t="n"/>
      <c r="AI5" s="21" t="n"/>
      <c r="AJ5" s="22">
        <f>AI5-AF5</f>
        <v/>
      </c>
      <c r="AK5" s="23" t="n"/>
      <c r="AL5" s="21" t="n"/>
      <c r="AM5" s="22">
        <f>AL5-AI5</f>
        <v/>
      </c>
      <c r="AN5" s="23" t="n"/>
      <c r="AO5" s="21" t="n"/>
      <c r="AP5" s="22">
        <f>AO5-AL5</f>
        <v/>
      </c>
      <c r="AQ5" s="23" t="n"/>
      <c r="AR5" s="21" t="n"/>
      <c r="AS5" s="22">
        <f>AR5-AO5</f>
        <v/>
      </c>
      <c r="AT5" s="23" t="n"/>
      <c r="AU5" s="21" t="n"/>
      <c r="AV5" s="22">
        <f>AU5-AR5</f>
        <v/>
      </c>
      <c r="AW5" s="23" t="n"/>
      <c r="AX5" s="21" t="n"/>
      <c r="AY5" s="22">
        <f>AX5-AU5</f>
        <v/>
      </c>
      <c r="AZ5" s="23" t="n"/>
      <c r="BA5" s="21" t="n"/>
      <c r="BB5" s="22">
        <f>BA5-AX5</f>
        <v/>
      </c>
      <c r="BC5" s="23" t="n"/>
      <c r="BD5" s="21" t="n"/>
      <c r="BE5" s="22">
        <f>BD5-BA5</f>
        <v/>
      </c>
      <c r="BF5" s="23" t="n"/>
      <c r="BG5" s="21" t="n"/>
      <c r="BH5" s="22">
        <f>BG5-BD5</f>
        <v/>
      </c>
      <c r="BI5" s="23" t="n"/>
      <c r="BJ5" s="21" t="n"/>
      <c r="BK5" s="22">
        <f>BJ5-BG5</f>
        <v/>
      </c>
      <c r="BL5" s="23" t="n"/>
      <c r="BM5" s="21" t="n"/>
      <c r="BN5" s="22">
        <f>BM5-BJ5</f>
        <v/>
      </c>
      <c r="BO5" s="23" t="n"/>
      <c r="BP5" s="21" t="n"/>
      <c r="BQ5" s="22">
        <f>BP5-BM5</f>
        <v/>
      </c>
      <c r="BR5" s="23" t="n"/>
      <c r="BS5" s="21" t="n"/>
      <c r="BT5" s="22">
        <f>BS5-BP5</f>
        <v/>
      </c>
      <c r="BU5" s="23" t="n"/>
      <c r="BV5" s="21" t="n"/>
      <c r="BW5" s="22">
        <f>BV5-BS5</f>
        <v/>
      </c>
      <c r="BX5" s="23" t="n"/>
      <c r="BY5" s="21" t="n"/>
      <c r="BZ5" s="22">
        <f>BY5-BV5</f>
        <v/>
      </c>
      <c r="CA5" s="23" t="n"/>
      <c r="CB5" s="21" t="n"/>
      <c r="CC5" s="22">
        <f>CB5-BY5</f>
        <v/>
      </c>
      <c r="CD5" s="23" t="n"/>
    </row>
    <row r="6" ht="45" customHeight="1">
      <c r="A6" s="37" t="inlineStr">
        <is>
          <t>Имя 1</t>
        </is>
      </c>
      <c r="B6" s="34">
        <f>[1]Реестр!M2</f>
        <v/>
      </c>
      <c r="C6" s="30" t="inlineStr">
        <is>
          <t>Водоканал холодная Тариф</t>
        </is>
      </c>
      <c r="D6" s="24" t="n"/>
      <c r="E6" s="24" t="n"/>
      <c r="F6" s="24" t="n"/>
      <c r="G6" s="25">
        <f>'[1]0. ГИРА'!G6</f>
        <v/>
      </c>
      <c r="H6" s="24" t="n"/>
      <c r="I6" s="24" t="n"/>
      <c r="J6" s="25">
        <f>'[1]0. ГИРА'!J6</f>
        <v/>
      </c>
      <c r="K6" s="24" t="n"/>
      <c r="L6" s="24" t="n"/>
      <c r="M6" s="25">
        <f>'[1]0. ГИРА'!M6</f>
        <v/>
      </c>
      <c r="N6" s="24" t="n"/>
      <c r="O6" s="24" t="n"/>
      <c r="P6" s="25">
        <f>'[1]0. ГИРА'!P6</f>
        <v/>
      </c>
      <c r="Q6" s="24" t="n"/>
      <c r="R6" s="24" t="n"/>
      <c r="S6" s="25">
        <f>'[1]0. ГИРА'!S6</f>
        <v/>
      </c>
      <c r="T6" s="24" t="n"/>
      <c r="U6" s="24" t="n"/>
      <c r="V6" s="25">
        <f>'[1]0. ГИРА'!V6</f>
        <v/>
      </c>
      <c r="W6" s="24" t="n"/>
      <c r="X6" s="24" t="n"/>
      <c r="Y6" s="25">
        <f>'[1]0. ГИРА'!Y6</f>
        <v/>
      </c>
      <c r="Z6" s="24" t="n"/>
      <c r="AA6" s="24" t="n"/>
      <c r="AB6" s="25">
        <f>'[1]0. ГИРА'!AB6</f>
        <v/>
      </c>
      <c r="AC6" s="24" t="n"/>
      <c r="AD6" s="24" t="n"/>
      <c r="AE6" s="25">
        <f>'[1]0. ГИРА'!AE6</f>
        <v/>
      </c>
      <c r="AF6" s="24" t="n"/>
      <c r="AG6" s="24" t="n"/>
      <c r="AH6" s="25">
        <f>'[1]0. ГИРА'!AH6</f>
        <v/>
      </c>
      <c r="AI6" s="24" t="n"/>
      <c r="AJ6" s="24" t="n"/>
      <c r="AK6" s="25">
        <f>'[1]0. ГИРА'!AK6</f>
        <v/>
      </c>
      <c r="AL6" s="24" t="n"/>
      <c r="AM6" s="24" t="n"/>
      <c r="AN6" s="25">
        <f>'[1]0. ГИРА'!AN6</f>
        <v/>
      </c>
      <c r="AO6" s="24" t="n"/>
      <c r="AP6" s="24" t="n"/>
      <c r="AQ6" s="25">
        <f>'[1]0. ГИРА'!AQ6</f>
        <v/>
      </c>
      <c r="AR6" s="24" t="n"/>
      <c r="AS6" s="24" t="n"/>
      <c r="AT6" s="25">
        <f>'[1]0. ГИРА'!AT6</f>
        <v/>
      </c>
      <c r="AU6" s="24" t="n"/>
      <c r="AV6" s="24" t="n"/>
      <c r="AW6" s="25">
        <f>'[1]0. ГИРА'!AW6</f>
        <v/>
      </c>
      <c r="AX6" s="24" t="n"/>
      <c r="AY6" s="24" t="n"/>
      <c r="AZ6" s="25">
        <f>'[1]0. ГИРА'!AZ6</f>
        <v/>
      </c>
      <c r="BA6" s="24" t="n"/>
      <c r="BB6" s="24" t="n"/>
      <c r="BC6" s="25">
        <f>'[1]0. ГИРА'!BC6</f>
        <v/>
      </c>
      <c r="BD6" s="24" t="n"/>
      <c r="BE6" s="24" t="n"/>
      <c r="BF6" s="25">
        <f>'[1]0. ГИРА'!BF6</f>
        <v/>
      </c>
      <c r="BG6" s="24" t="n"/>
      <c r="BH6" s="24" t="n"/>
      <c r="BI6" s="25">
        <f>'[1]0. ГИРА'!BI6</f>
        <v/>
      </c>
      <c r="BJ6" s="24" t="n"/>
      <c r="BK6" s="24" t="n"/>
      <c r="BL6" s="25">
        <f>'[1]0. ГИРА'!BL6</f>
        <v/>
      </c>
      <c r="BM6" s="24" t="n"/>
      <c r="BN6" s="24" t="n"/>
      <c r="BO6" s="25">
        <f>'[1]0. ГИРА'!BO6</f>
        <v/>
      </c>
      <c r="BP6" s="24" t="n"/>
      <c r="BQ6" s="24" t="n"/>
      <c r="BR6" s="25">
        <f>'[1]0. ГИРА'!BR6</f>
        <v/>
      </c>
      <c r="BS6" s="24" t="n"/>
      <c r="BT6" s="24" t="n"/>
      <c r="BU6" s="25">
        <f>'[1]0. ГИРА'!BU6</f>
        <v/>
      </c>
      <c r="BV6" s="24" t="n"/>
      <c r="BW6" s="24" t="n"/>
      <c r="BX6" s="25">
        <f>'[1]0. ГИРА'!BX6</f>
        <v/>
      </c>
      <c r="BY6" s="24" t="n"/>
      <c r="BZ6" s="24" t="n"/>
      <c r="CA6" s="25">
        <f>'[1]0. ГИРА'!CA6</f>
        <v/>
      </c>
      <c r="CB6" s="24" t="n"/>
      <c r="CC6" s="24" t="n"/>
      <c r="CD6" s="25">
        <f>'[1]0. ГИРА'!CD6</f>
        <v/>
      </c>
    </row>
    <row r="7" ht="45" customHeight="1">
      <c r="A7" s="38" t="inlineStr">
        <is>
          <t>Контакт 1</t>
        </is>
      </c>
      <c r="B7" s="33">
        <f>[1]Реестр!N2</f>
        <v/>
      </c>
      <c r="C7" s="30" t="inlineStr">
        <is>
          <t>Водоканал горячая вода</t>
        </is>
      </c>
      <c r="D7" s="67" t="n">
        <v>0</v>
      </c>
      <c r="E7" s="67" t="n">
        <v>0</v>
      </c>
      <c r="F7" s="68">
        <f>E7-D7</f>
        <v/>
      </c>
      <c r="G7" s="69">
        <f>G8*F7</f>
        <v/>
      </c>
      <c r="H7" s="67" t="n">
        <v>0</v>
      </c>
      <c r="I7" s="22">
        <f>H7-E7</f>
        <v/>
      </c>
      <c r="J7" s="69">
        <f>J8*I7</f>
        <v/>
      </c>
      <c r="K7" s="67" t="n">
        <v>0</v>
      </c>
      <c r="L7" s="22">
        <f>K7-H7</f>
        <v/>
      </c>
      <c r="M7" s="69">
        <f>M8*L7</f>
        <v/>
      </c>
      <c r="N7" s="67" t="n"/>
      <c r="O7" s="22">
        <f>N7-K7</f>
        <v/>
      </c>
      <c r="P7" s="69">
        <f>P8*O7</f>
        <v/>
      </c>
      <c r="Q7" s="67" t="n"/>
      <c r="R7" s="22">
        <f>Q7-N7</f>
        <v/>
      </c>
      <c r="S7" s="69">
        <f>S8*R7</f>
        <v/>
      </c>
      <c r="T7" s="67" t="n"/>
      <c r="U7" s="22">
        <f>T7-Q7</f>
        <v/>
      </c>
      <c r="V7" s="69">
        <f>V8*U7</f>
        <v/>
      </c>
      <c r="W7" s="67" t="n"/>
      <c r="X7" s="22">
        <f>W7-T7</f>
        <v/>
      </c>
      <c r="Y7" s="69">
        <f>Y8*X7</f>
        <v/>
      </c>
      <c r="Z7" s="67" t="n"/>
      <c r="AA7" s="22">
        <f>Z7-W7</f>
        <v/>
      </c>
      <c r="AB7" s="69">
        <f>AB8*AA7</f>
        <v/>
      </c>
      <c r="AC7" s="67" t="n"/>
      <c r="AD7" s="22">
        <f>AC7-Z7</f>
        <v/>
      </c>
      <c r="AE7" s="69">
        <f>AE8*AD7</f>
        <v/>
      </c>
      <c r="AF7" s="67" t="n"/>
      <c r="AG7" s="22">
        <f>AF7-AC7</f>
        <v/>
      </c>
      <c r="AH7" s="69">
        <f>AH8*AG7</f>
        <v/>
      </c>
      <c r="AI7" s="67" t="n"/>
      <c r="AJ7" s="22">
        <f>AI7-AF7</f>
        <v/>
      </c>
      <c r="AK7" s="69">
        <f>AK8*AJ7</f>
        <v/>
      </c>
      <c r="AL7" s="67" t="n"/>
      <c r="AM7" s="22">
        <f>AL7-AI7</f>
        <v/>
      </c>
      <c r="AN7" s="69">
        <f>AN8*AM7</f>
        <v/>
      </c>
      <c r="AO7" s="67" t="n"/>
      <c r="AP7" s="22">
        <f>AO7-AL7</f>
        <v/>
      </c>
      <c r="AQ7" s="69">
        <f>AQ8*AP7</f>
        <v/>
      </c>
      <c r="AR7" s="67" t="n"/>
      <c r="AS7" s="22">
        <f>AR7-AO7</f>
        <v/>
      </c>
      <c r="AT7" s="69">
        <f>AT8*AS7</f>
        <v/>
      </c>
      <c r="AU7" s="67" t="n"/>
      <c r="AV7" s="22">
        <f>AU7-AR7</f>
        <v/>
      </c>
      <c r="AW7" s="69">
        <f>AW8*AV7</f>
        <v/>
      </c>
      <c r="AX7" s="67" t="n"/>
      <c r="AY7" s="22">
        <f>AX7-AU7</f>
        <v/>
      </c>
      <c r="AZ7" s="69">
        <f>AZ8*AY7</f>
        <v/>
      </c>
      <c r="BA7" s="67" t="n"/>
      <c r="BB7" s="22">
        <f>BA7-AX7</f>
        <v/>
      </c>
      <c r="BC7" s="69">
        <f>BC8*BB7</f>
        <v/>
      </c>
      <c r="BD7" s="67" t="n"/>
      <c r="BE7" s="22">
        <f>BD7-BA7</f>
        <v/>
      </c>
      <c r="BF7" s="69">
        <f>BF8*BE7</f>
        <v/>
      </c>
      <c r="BG7" s="67" t="n"/>
      <c r="BH7" s="22">
        <f>BG7-BD7</f>
        <v/>
      </c>
      <c r="BI7" s="69">
        <f>BI8*BH7</f>
        <v/>
      </c>
      <c r="BJ7" s="67" t="n"/>
      <c r="BK7" s="22">
        <f>BJ7-BG7</f>
        <v/>
      </c>
      <c r="BL7" s="69">
        <f>BL8*BK7</f>
        <v/>
      </c>
      <c r="BM7" s="67" t="n"/>
      <c r="BN7" s="22">
        <f>BM7-BJ7</f>
        <v/>
      </c>
      <c r="BO7" s="69">
        <f>BO8*BN7</f>
        <v/>
      </c>
      <c r="BP7" s="67" t="n"/>
      <c r="BQ7" s="22">
        <f>BP7-BM7</f>
        <v/>
      </c>
      <c r="BR7" s="69">
        <f>BR8*BQ7</f>
        <v/>
      </c>
      <c r="BS7" s="67" t="n"/>
      <c r="BT7" s="22">
        <f>BS7-BP7</f>
        <v/>
      </c>
      <c r="BU7" s="69">
        <f>BU8*BT7</f>
        <v/>
      </c>
      <c r="BV7" s="67" t="n"/>
      <c r="BW7" s="22">
        <f>BV7-BS7</f>
        <v/>
      </c>
      <c r="BX7" s="69">
        <f>BX8*BW7</f>
        <v/>
      </c>
      <c r="BY7" s="67" t="n"/>
      <c r="BZ7" s="22">
        <f>BY7-BV7</f>
        <v/>
      </c>
      <c r="CA7" s="69">
        <f>CA8*BZ7</f>
        <v/>
      </c>
      <c r="CB7" s="67" t="n"/>
      <c r="CC7" s="22">
        <f>CB7-BY7</f>
        <v/>
      </c>
      <c r="CD7" s="69">
        <f>CD8*CC7</f>
        <v/>
      </c>
    </row>
    <row r="8" ht="45" customHeight="1">
      <c r="A8" s="37" t="inlineStr">
        <is>
          <t>Имя 2</t>
        </is>
      </c>
      <c r="B8" s="33">
        <f>[1]Реестр!O2</f>
        <v/>
      </c>
      <c r="C8" s="30" t="inlineStr">
        <is>
          <t>Водоканал горячая Тариф</t>
        </is>
      </c>
      <c r="D8" s="70" t="n"/>
      <c r="E8" s="70" t="n"/>
      <c r="F8" s="70" t="n"/>
      <c r="G8" s="71">
        <f>'[1]0. ГИРА'!G8</f>
        <v/>
      </c>
      <c r="H8" s="70" t="n"/>
      <c r="I8" s="70" t="n"/>
      <c r="J8" s="71">
        <f>'[1]0. ГИРА'!J8</f>
        <v/>
      </c>
      <c r="K8" s="70" t="n"/>
      <c r="L8" s="70" t="n"/>
      <c r="M8" s="71">
        <f>'[1]0. ГИРА'!M8</f>
        <v/>
      </c>
      <c r="N8" s="70" t="n"/>
      <c r="O8" s="70" t="n"/>
      <c r="P8" s="71">
        <f>'[1]0. ГИРА'!P8</f>
        <v/>
      </c>
      <c r="Q8" s="70" t="n"/>
      <c r="R8" s="70" t="n"/>
      <c r="S8" s="71">
        <f>'[1]0. ГИРА'!S8</f>
        <v/>
      </c>
      <c r="T8" s="70" t="n"/>
      <c r="U8" s="70" t="n"/>
      <c r="V8" s="71">
        <f>'[1]0. ГИРА'!V8</f>
        <v/>
      </c>
      <c r="W8" s="70" t="n"/>
      <c r="X8" s="70" t="n"/>
      <c r="Y8" s="71">
        <f>'[1]0. ГИРА'!Y8</f>
        <v/>
      </c>
      <c r="Z8" s="70" t="n"/>
      <c r="AA8" s="70" t="n"/>
      <c r="AB8" s="71">
        <f>'[1]0. ГИРА'!AB8</f>
        <v/>
      </c>
      <c r="AC8" s="70" t="n"/>
      <c r="AD8" s="70" t="n"/>
      <c r="AE8" s="71">
        <f>'[1]0. ГИРА'!AE8</f>
        <v/>
      </c>
      <c r="AF8" s="70" t="n"/>
      <c r="AG8" s="70" t="n"/>
      <c r="AH8" s="71">
        <f>'[1]0. ГИРА'!AH8</f>
        <v/>
      </c>
      <c r="AI8" s="70" t="n"/>
      <c r="AJ8" s="70" t="n"/>
      <c r="AK8" s="71">
        <f>'[1]0. ГИРА'!AK8</f>
        <v/>
      </c>
      <c r="AL8" s="70" t="n"/>
      <c r="AM8" s="70" t="n"/>
      <c r="AN8" s="71">
        <f>'[1]0. ГИРА'!AN8</f>
        <v/>
      </c>
      <c r="AO8" s="70" t="n"/>
      <c r="AP8" s="70" t="n"/>
      <c r="AQ8" s="71">
        <f>'[1]0. ГИРА'!AQ8</f>
        <v/>
      </c>
      <c r="AR8" s="70" t="n"/>
      <c r="AS8" s="70" t="n"/>
      <c r="AT8" s="71">
        <f>'[1]0. ГИРА'!AT8</f>
        <v/>
      </c>
      <c r="AU8" s="70" t="n"/>
      <c r="AV8" s="70" t="n"/>
      <c r="AW8" s="71">
        <f>'[1]0. ГИРА'!AW8</f>
        <v/>
      </c>
      <c r="AX8" s="70" t="n"/>
      <c r="AY8" s="70" t="n"/>
      <c r="AZ8" s="71">
        <f>'[1]0. ГИРА'!AZ8</f>
        <v/>
      </c>
      <c r="BA8" s="70" t="n"/>
      <c r="BB8" s="70" t="n"/>
      <c r="BC8" s="71">
        <f>'[1]0. ГИРА'!BC8</f>
        <v/>
      </c>
      <c r="BD8" s="70" t="n"/>
      <c r="BE8" s="70" t="n"/>
      <c r="BF8" s="71">
        <f>'[1]0. ГИРА'!BF8</f>
        <v/>
      </c>
      <c r="BG8" s="70" t="n"/>
      <c r="BH8" s="70" t="n"/>
      <c r="BI8" s="71">
        <f>'[1]0. ГИРА'!BI8</f>
        <v/>
      </c>
      <c r="BJ8" s="70" t="n"/>
      <c r="BK8" s="70" t="n"/>
      <c r="BL8" s="71">
        <f>'[1]0. ГИРА'!BL8</f>
        <v/>
      </c>
      <c r="BM8" s="70" t="n"/>
      <c r="BN8" s="70" t="n"/>
      <c r="BO8" s="71">
        <f>'[1]0. ГИРА'!BO8</f>
        <v/>
      </c>
      <c r="BP8" s="70" t="n"/>
      <c r="BQ8" s="70" t="n"/>
      <c r="BR8" s="71">
        <f>'[1]0. ГИРА'!BR8</f>
        <v/>
      </c>
      <c r="BS8" s="70" t="n"/>
      <c r="BT8" s="70" t="n"/>
      <c r="BU8" s="71">
        <f>'[1]0. ГИРА'!BU8</f>
        <v/>
      </c>
      <c r="BV8" s="70" t="n"/>
      <c r="BW8" s="70" t="n"/>
      <c r="BX8" s="71">
        <f>'[1]0. ГИРА'!BX8</f>
        <v/>
      </c>
      <c r="BY8" s="70" t="n"/>
      <c r="BZ8" s="70" t="n"/>
      <c r="CA8" s="71">
        <f>'[1]0. ГИРА'!CA8</f>
        <v/>
      </c>
      <c r="CB8" s="70" t="n"/>
      <c r="CC8" s="70" t="n"/>
      <c r="CD8" s="71">
        <f>'[1]0. ГИРА'!CD8</f>
        <v/>
      </c>
    </row>
    <row r="9" ht="14.1" customHeight="1">
      <c r="A9" s="38" t="inlineStr">
        <is>
          <t>Контакт 2</t>
        </is>
      </c>
      <c r="B9" s="34">
        <f>[1]Реестр!P2</f>
        <v/>
      </c>
      <c r="C9" s="20" t="inlineStr">
        <is>
          <t>Тепло</t>
        </is>
      </c>
      <c r="D9" s="21" t="n"/>
      <c r="E9" s="21" t="n"/>
      <c r="F9" s="22">
        <f>E9-D9</f>
        <v/>
      </c>
      <c r="G9" s="23">
        <f>G10*B4</f>
        <v/>
      </c>
      <c r="H9" s="21" t="n"/>
      <c r="I9" s="22">
        <f>H9-E9</f>
        <v/>
      </c>
      <c r="J9" s="23">
        <f>J10*E3</f>
        <v/>
      </c>
      <c r="K9" s="21" t="n"/>
      <c r="L9" s="22">
        <f>K9-H9</f>
        <v/>
      </c>
      <c r="M9" s="23">
        <f>M10*$B4</f>
        <v/>
      </c>
      <c r="N9" s="21" t="n"/>
      <c r="O9" s="22">
        <f>N9-K9</f>
        <v/>
      </c>
      <c r="P9" s="23">
        <f>P10*K3</f>
        <v/>
      </c>
      <c r="Q9" s="21" t="n"/>
      <c r="R9" s="22">
        <f>Q9-N9</f>
        <v/>
      </c>
      <c r="S9" s="23">
        <f>S10*N3</f>
        <v/>
      </c>
      <c r="T9" s="21" t="n"/>
      <c r="U9" s="22">
        <f>T9-Q9</f>
        <v/>
      </c>
      <c r="V9" s="23">
        <f>V10*Q3</f>
        <v/>
      </c>
      <c r="W9" s="21" t="n"/>
      <c r="X9" s="22">
        <f>W9-T9</f>
        <v/>
      </c>
      <c r="Y9" s="23">
        <f>Y10*T3</f>
        <v/>
      </c>
      <c r="Z9" s="21" t="n"/>
      <c r="AA9" s="22">
        <f>Z9-W9</f>
        <v/>
      </c>
      <c r="AB9" s="23">
        <f>AB10*W3</f>
        <v/>
      </c>
      <c r="AC9" s="21" t="n"/>
      <c r="AD9" s="22">
        <f>AC9-Z9</f>
        <v/>
      </c>
      <c r="AE9" s="23">
        <f>AE10*Z3</f>
        <v/>
      </c>
      <c r="AF9" s="21" t="n"/>
      <c r="AG9" s="22">
        <f>AF9-AC9</f>
        <v/>
      </c>
      <c r="AH9" s="23">
        <f>AH10*AC3</f>
        <v/>
      </c>
      <c r="AI9" s="21" t="n"/>
      <c r="AJ9" s="22">
        <f>AI9-AF9</f>
        <v/>
      </c>
      <c r="AK9" s="23">
        <f>AK10*AF3</f>
        <v/>
      </c>
      <c r="AL9" s="21" t="n"/>
      <c r="AM9" s="22">
        <f>AL9-AI9</f>
        <v/>
      </c>
      <c r="AN9" s="23">
        <f>AN10*AI3</f>
        <v/>
      </c>
      <c r="AO9" s="21" t="n"/>
      <c r="AP9" s="22">
        <f>AO9-AL9</f>
        <v/>
      </c>
      <c r="AQ9" s="23">
        <f>AQ10*AL3</f>
        <v/>
      </c>
      <c r="AR9" s="21" t="n"/>
      <c r="AS9" s="22">
        <f>AR9-AO9</f>
        <v/>
      </c>
      <c r="AT9" s="23">
        <f>AT10*AO3</f>
        <v/>
      </c>
      <c r="AU9" s="21" t="n"/>
      <c r="AV9" s="22">
        <f>AU9-AR9</f>
        <v/>
      </c>
      <c r="AW9" s="23">
        <f>AW10*AR3</f>
        <v/>
      </c>
      <c r="AX9" s="21" t="n"/>
      <c r="AY9" s="22">
        <f>AX9-AU9</f>
        <v/>
      </c>
      <c r="AZ9" s="23">
        <f>AZ10*AU3</f>
        <v/>
      </c>
      <c r="BA9" s="21" t="n"/>
      <c r="BB9" s="22">
        <f>BA9-AX9</f>
        <v/>
      </c>
      <c r="BC9" s="23">
        <f>BC10*AX3</f>
        <v/>
      </c>
      <c r="BD9" s="21" t="n"/>
      <c r="BE9" s="22">
        <f>BD9-BA9</f>
        <v/>
      </c>
      <c r="BF9" s="23">
        <f>BF10*BA3</f>
        <v/>
      </c>
      <c r="BG9" s="21" t="n"/>
      <c r="BH9" s="22">
        <f>BG9-BD9</f>
        <v/>
      </c>
      <c r="BI9" s="23">
        <f>BI10*BD3</f>
        <v/>
      </c>
      <c r="BJ9" s="21" t="n"/>
      <c r="BK9" s="22">
        <f>BJ9-BG9</f>
        <v/>
      </c>
      <c r="BL9" s="23">
        <f>BL10*BG3</f>
        <v/>
      </c>
      <c r="BM9" s="21" t="n"/>
      <c r="BN9" s="22">
        <f>BM9-BJ9</f>
        <v/>
      </c>
      <c r="BO9" s="23">
        <f>BO10*BJ3</f>
        <v/>
      </c>
      <c r="BP9" s="21" t="n"/>
      <c r="BQ9" s="22">
        <f>BP9-BM9</f>
        <v/>
      </c>
      <c r="BR9" s="23">
        <f>BR10*BM3</f>
        <v/>
      </c>
      <c r="BS9" s="21" t="n"/>
      <c r="BT9" s="22">
        <f>BS9-BP9</f>
        <v/>
      </c>
      <c r="BU9" s="23">
        <f>BU10*BP3</f>
        <v/>
      </c>
      <c r="BV9" s="21" t="n"/>
      <c r="BW9" s="22">
        <f>BV9-BS9</f>
        <v/>
      </c>
      <c r="BX9" s="23">
        <f>BX10*BS3</f>
        <v/>
      </c>
      <c r="BY9" s="21" t="n"/>
      <c r="BZ9" s="22">
        <f>BY9-BV9</f>
        <v/>
      </c>
      <c r="CA9" s="23">
        <f>CA10*BV3</f>
        <v/>
      </c>
      <c r="CB9" s="21" t="n"/>
      <c r="CC9" s="22">
        <f>CB9-BY9</f>
        <v/>
      </c>
      <c r="CD9" s="23">
        <f>CD10*BY3</f>
        <v/>
      </c>
    </row>
    <row r="10" ht="30" customHeight="1">
      <c r="C10" s="20" t="inlineStr">
        <is>
          <t>Тепло тариф</t>
        </is>
      </c>
      <c r="D10" s="24" t="n"/>
      <c r="E10" s="24" t="n"/>
      <c r="F10" s="24" t="n"/>
      <c r="G10" s="25">
        <f>'[1]0. ГИРА'!G10</f>
        <v/>
      </c>
      <c r="H10" s="24" t="n"/>
      <c r="I10" s="24" t="n"/>
      <c r="J10" s="25">
        <f>'[1]0. ГИРА'!J10</f>
        <v/>
      </c>
      <c r="K10" s="24" t="n"/>
      <c r="L10" s="24" t="n"/>
      <c r="M10" s="25">
        <f>'[1]0. ГИРА'!M10</f>
        <v/>
      </c>
      <c r="N10" s="24" t="n"/>
      <c r="O10" s="24" t="n"/>
      <c r="P10" s="25">
        <f>'[1]0. ГИРА'!P10</f>
        <v/>
      </c>
      <c r="Q10" s="24" t="n"/>
      <c r="R10" s="24" t="n"/>
      <c r="S10" s="25">
        <f>'[1]0. ГИРА'!S10</f>
        <v/>
      </c>
      <c r="T10" s="24" t="n"/>
      <c r="U10" s="24" t="n"/>
      <c r="V10" s="25">
        <f>'[1]0. ГИРА'!V10</f>
        <v/>
      </c>
      <c r="W10" s="24" t="n"/>
      <c r="X10" s="24" t="n"/>
      <c r="Y10" s="25">
        <f>'[1]0. ГИРА'!Y10</f>
        <v/>
      </c>
      <c r="Z10" s="24" t="n"/>
      <c r="AA10" s="24" t="n"/>
      <c r="AB10" s="25">
        <f>'[1]0. ГИРА'!AB10</f>
        <v/>
      </c>
      <c r="AC10" s="24" t="n"/>
      <c r="AD10" s="24" t="n"/>
      <c r="AE10" s="25">
        <f>'[1]0. ГИРА'!AE10</f>
        <v/>
      </c>
      <c r="AF10" s="24" t="n"/>
      <c r="AG10" s="24" t="n"/>
      <c r="AH10" s="25">
        <f>'[1]0. ГИРА'!AH10</f>
        <v/>
      </c>
      <c r="AI10" s="24" t="n"/>
      <c r="AJ10" s="24" t="n"/>
      <c r="AK10" s="25">
        <f>'[1]0. ГИРА'!AK10</f>
        <v/>
      </c>
      <c r="AL10" s="24" t="n"/>
      <c r="AM10" s="24" t="n"/>
      <c r="AN10" s="25">
        <f>'[1]0. ГИРА'!AN10</f>
        <v/>
      </c>
      <c r="AO10" s="24" t="n"/>
      <c r="AP10" s="24" t="n"/>
      <c r="AQ10" s="25">
        <f>'[1]0. ГИРА'!AQ10</f>
        <v/>
      </c>
      <c r="AR10" s="24" t="n"/>
      <c r="AS10" s="24" t="n"/>
      <c r="AT10" s="25">
        <f>'[1]0. ГИРА'!AT10</f>
        <v/>
      </c>
      <c r="AU10" s="24" t="n"/>
      <c r="AV10" s="24" t="n"/>
      <c r="AW10" s="25">
        <f>'[1]0. ГИРА'!AW10</f>
        <v/>
      </c>
      <c r="AX10" s="24" t="n"/>
      <c r="AY10" s="24" t="n"/>
      <c r="AZ10" s="25">
        <f>'[1]0. ГИРА'!AZ10</f>
        <v/>
      </c>
      <c r="BA10" s="24" t="n"/>
      <c r="BB10" s="24" t="n"/>
      <c r="BC10" s="25">
        <f>'[1]0. ГИРА'!BC10</f>
        <v/>
      </c>
      <c r="BD10" s="24" t="n"/>
      <c r="BE10" s="24" t="n"/>
      <c r="BF10" s="25">
        <f>'[1]0. ГИРА'!BF10</f>
        <v/>
      </c>
      <c r="BG10" s="24" t="n"/>
      <c r="BH10" s="24" t="n"/>
      <c r="BI10" s="25">
        <f>'[1]0. ГИРА'!BI10</f>
        <v/>
      </c>
      <c r="BJ10" s="24" t="n"/>
      <c r="BK10" s="24" t="n"/>
      <c r="BL10" s="25">
        <f>'[1]0. ГИРА'!BL10</f>
        <v/>
      </c>
      <c r="BM10" s="24" t="n"/>
      <c r="BN10" s="24" t="n"/>
      <c r="BO10" s="25">
        <f>'[1]0. ГИРА'!BO10</f>
        <v/>
      </c>
      <c r="BP10" s="24" t="n"/>
      <c r="BQ10" s="24" t="n"/>
      <c r="BR10" s="25">
        <f>'[1]0. ГИРА'!BR10</f>
        <v/>
      </c>
      <c r="BS10" s="24" t="n"/>
      <c r="BT10" s="24" t="n"/>
      <c r="BU10" s="25">
        <f>'[1]0. ГИРА'!BU10</f>
        <v/>
      </c>
      <c r="BV10" s="24" t="n"/>
      <c r="BW10" s="24" t="n"/>
      <c r="BX10" s="25">
        <f>'[1]0. ГИРА'!BX10</f>
        <v/>
      </c>
      <c r="BY10" s="24" t="n"/>
      <c r="BZ10" s="24" t="n"/>
      <c r="CA10" s="25">
        <f>'[1]0. ГИРА'!CA10</f>
        <v/>
      </c>
      <c r="CB10" s="24" t="n"/>
      <c r="CC10" s="24" t="n"/>
      <c r="CD10" s="25">
        <f>'[1]0. ГИРА'!CD10</f>
        <v/>
      </c>
    </row>
    <row r="11">
      <c r="A11" s="66" t="inlineStr">
        <is>
          <t>Номер счетчика</t>
        </is>
      </c>
      <c r="C11" s="26" t="inlineStr">
        <is>
          <t>Экспл. Услуги от УК</t>
        </is>
      </c>
      <c r="D11" s="21" t="n"/>
      <c r="E11" s="21" t="n"/>
      <c r="F11" s="22">
        <f>E11-D11</f>
        <v/>
      </c>
      <c r="G11" s="23">
        <f>'[1]0. ГИРА'!G12</f>
        <v/>
      </c>
      <c r="H11" s="21" t="n"/>
      <c r="I11" s="22">
        <f>H11-G11</f>
        <v/>
      </c>
      <c r="J11" s="23">
        <f>'[1]0. ГИРА'!J12</f>
        <v/>
      </c>
      <c r="K11" s="21" t="n"/>
      <c r="L11" s="22">
        <f>K11-J11</f>
        <v/>
      </c>
      <c r="M11" s="23">
        <f>'[1]0. ГИРА'!M12</f>
        <v/>
      </c>
      <c r="N11" s="21" t="n"/>
      <c r="O11" s="22">
        <f>N11-M11</f>
        <v/>
      </c>
      <c r="P11" s="23">
        <f>'[1]0. ГИРА'!P12</f>
        <v/>
      </c>
      <c r="Q11" s="21" t="n"/>
      <c r="R11" s="22">
        <f>Q11-P11</f>
        <v/>
      </c>
      <c r="S11" s="23">
        <f>'[1]0. ГИРА'!S12</f>
        <v/>
      </c>
      <c r="T11" s="21" t="n"/>
      <c r="U11" s="22">
        <f>T11-S11</f>
        <v/>
      </c>
      <c r="V11" s="23">
        <f>'[1]0. ГИРА'!V12</f>
        <v/>
      </c>
      <c r="W11" s="21" t="n"/>
      <c r="X11" s="22">
        <f>W11-T11</f>
        <v/>
      </c>
      <c r="Y11" s="23">
        <f>Y12*T3</f>
        <v/>
      </c>
      <c r="Z11" s="21" t="n"/>
      <c r="AA11" s="22">
        <f>Z11-W11</f>
        <v/>
      </c>
      <c r="AB11" s="23">
        <f>AB12*W3</f>
        <v/>
      </c>
      <c r="AC11" s="21" t="n"/>
      <c r="AD11" s="22">
        <f>AC11-Z11</f>
        <v/>
      </c>
      <c r="AE11" s="23">
        <f>AE12*Z3</f>
        <v/>
      </c>
      <c r="AF11" s="21" t="n"/>
      <c r="AG11" s="22">
        <f>AF11-AC11</f>
        <v/>
      </c>
      <c r="AH11" s="23">
        <f>AH12*AC3</f>
        <v/>
      </c>
      <c r="AI11" s="21" t="n"/>
      <c r="AJ11" s="22">
        <f>AI11-AF11</f>
        <v/>
      </c>
      <c r="AK11" s="23">
        <f>AK12*AF3</f>
        <v/>
      </c>
      <c r="AL11" s="21" t="n"/>
      <c r="AM11" s="22">
        <f>AL11-AI11</f>
        <v/>
      </c>
      <c r="AN11" s="23">
        <f>AN12*AI3</f>
        <v/>
      </c>
      <c r="AO11" s="21" t="n"/>
      <c r="AP11" s="22">
        <f>AO11-AL11</f>
        <v/>
      </c>
      <c r="AQ11" s="23">
        <f>AQ12*AL3</f>
        <v/>
      </c>
      <c r="AR11" s="21" t="n"/>
      <c r="AS11" s="22">
        <f>AR11-AO11</f>
        <v/>
      </c>
      <c r="AT11" s="23">
        <f>AT12*AO3</f>
        <v/>
      </c>
      <c r="AU11" s="21" t="n"/>
      <c r="AV11" s="22">
        <f>AU11-AR11</f>
        <v/>
      </c>
      <c r="AW11" s="23">
        <f>AW12*AR3</f>
        <v/>
      </c>
      <c r="AX11" s="21" t="n"/>
      <c r="AY11" s="22">
        <f>AX11-AU11</f>
        <v/>
      </c>
      <c r="AZ11" s="23">
        <f>AZ12*AU3</f>
        <v/>
      </c>
      <c r="BA11" s="21" t="n"/>
      <c r="BB11" s="22">
        <f>BA11-AX11</f>
        <v/>
      </c>
      <c r="BC11" s="23">
        <f>BC12*AX3</f>
        <v/>
      </c>
      <c r="BD11" s="21" t="n"/>
      <c r="BE11" s="22">
        <f>BD11-BA11</f>
        <v/>
      </c>
      <c r="BF11" s="23">
        <f>BF12*BA3</f>
        <v/>
      </c>
      <c r="BG11" s="21" t="n"/>
      <c r="BH11" s="22">
        <f>BG11-BD11</f>
        <v/>
      </c>
      <c r="BI11" s="23">
        <f>BI12*BD3</f>
        <v/>
      </c>
      <c r="BJ11" s="21" t="n"/>
      <c r="BK11" s="22">
        <f>BJ11-BG11</f>
        <v/>
      </c>
      <c r="BL11" s="23">
        <f>BL12*BG3</f>
        <v/>
      </c>
      <c r="BM11" s="21" t="n"/>
      <c r="BN11" s="22">
        <f>BM11-BJ11</f>
        <v/>
      </c>
      <c r="BO11" s="23">
        <f>BO12*BJ3</f>
        <v/>
      </c>
      <c r="BP11" s="21" t="n"/>
      <c r="BQ11" s="22">
        <f>BP11-BM11</f>
        <v/>
      </c>
      <c r="BR11" s="23">
        <f>BR12*BM3</f>
        <v/>
      </c>
      <c r="BS11" s="21" t="n"/>
      <c r="BT11" s="22">
        <f>BS11-BP11</f>
        <v/>
      </c>
      <c r="BU11" s="23">
        <f>BU12*BP3</f>
        <v/>
      </c>
      <c r="BV11" s="21" t="n"/>
      <c r="BW11" s="22">
        <f>BV11-BS11</f>
        <v/>
      </c>
      <c r="BX11" s="23">
        <f>BX12*BS3</f>
        <v/>
      </c>
      <c r="BY11" s="21" t="n"/>
      <c r="BZ11" s="22">
        <f>BY11-BV11</f>
        <v/>
      </c>
      <c r="CA11" s="23">
        <f>CA12*BV3</f>
        <v/>
      </c>
      <c r="CB11" s="21" t="n"/>
      <c r="CC11" s="22">
        <f>CB11-BY11</f>
        <v/>
      </c>
      <c r="CD11" s="23">
        <f>CD12*BY3</f>
        <v/>
      </c>
    </row>
    <row r="12">
      <c r="C12" s="26" t="inlineStr">
        <is>
          <t>Экспл. Услуги от УК тариф</t>
        </is>
      </c>
      <c r="D12" s="24" t="n"/>
      <c r="E12" s="24" t="n"/>
      <c r="F12" s="24" t="n"/>
      <c r="G12" s="25">
        <f>'[1]0. ГИРА'!G12</f>
        <v/>
      </c>
      <c r="H12" s="24" t="n"/>
      <c r="I12" s="24" t="n"/>
      <c r="J12" s="25">
        <f>'[1]0. ГИРА'!J12</f>
        <v/>
      </c>
      <c r="K12" s="24" t="n"/>
      <c r="L12" s="24" t="n"/>
      <c r="M12" s="25">
        <f>'[1]0. ГИРА'!M12</f>
        <v/>
      </c>
      <c r="N12" s="24" t="n"/>
      <c r="O12" s="24" t="n"/>
      <c r="P12" s="25">
        <f>'[1]0. ГИРА'!P12</f>
        <v/>
      </c>
      <c r="Q12" s="24" t="n"/>
      <c r="R12" s="24" t="n"/>
      <c r="S12" s="25">
        <f>'[1]0. ГИРА'!S12</f>
        <v/>
      </c>
      <c r="T12" s="24" t="n"/>
      <c r="U12" s="24" t="n"/>
      <c r="V12" s="25">
        <f>'[1]0. ГИРА'!V12</f>
        <v/>
      </c>
      <c r="W12" s="24" t="n"/>
      <c r="X12" s="24" t="n"/>
      <c r="Y12" s="25">
        <f>'[1]0. ГИРА'!Y12</f>
        <v/>
      </c>
      <c r="Z12" s="24" t="n"/>
      <c r="AA12" s="24" t="n"/>
      <c r="AB12" s="25">
        <f>'[1]0. ГИРА'!AB12</f>
        <v/>
      </c>
      <c r="AC12" s="24" t="n"/>
      <c r="AD12" s="24" t="n"/>
      <c r="AE12" s="25">
        <f>'[1]0. ГИРА'!AE12</f>
        <v/>
      </c>
      <c r="AF12" s="24" t="n"/>
      <c r="AG12" s="24" t="n"/>
      <c r="AH12" s="25">
        <f>'[1]0. ГИРА'!AH12</f>
        <v/>
      </c>
      <c r="AI12" s="24" t="n"/>
      <c r="AJ12" s="24" t="n"/>
      <c r="AK12" s="25">
        <f>'[1]0. ГИРА'!AK12</f>
        <v/>
      </c>
      <c r="AL12" s="24" t="n"/>
      <c r="AM12" s="24" t="n"/>
      <c r="AN12" s="25">
        <f>'[1]0. ГИРА'!AN12</f>
        <v/>
      </c>
      <c r="AO12" s="24" t="n"/>
      <c r="AP12" s="24" t="n"/>
      <c r="AQ12" s="25">
        <f>'[1]0. ГИРА'!AQ12</f>
        <v/>
      </c>
      <c r="AR12" s="24" t="n"/>
      <c r="AS12" s="24" t="n"/>
      <c r="AT12" s="25">
        <f>'[1]0. ГИРА'!AT12</f>
        <v/>
      </c>
      <c r="AU12" s="24" t="n"/>
      <c r="AV12" s="24" t="n"/>
      <c r="AW12" s="25">
        <f>'[1]0. ГИРА'!AW12</f>
        <v/>
      </c>
      <c r="AX12" s="24" t="n"/>
      <c r="AY12" s="24" t="n"/>
      <c r="AZ12" s="25">
        <f>'[1]0. ГИРА'!AZ12</f>
        <v/>
      </c>
      <c r="BA12" s="24" t="n"/>
      <c r="BB12" s="24" t="n"/>
      <c r="BC12" s="25">
        <f>'[1]0. ГИРА'!BC12</f>
        <v/>
      </c>
      <c r="BD12" s="24" t="n"/>
      <c r="BE12" s="24" t="n"/>
      <c r="BF12" s="25">
        <f>'[1]0. ГИРА'!BF12</f>
        <v/>
      </c>
      <c r="BG12" s="24" t="n"/>
      <c r="BH12" s="24" t="n"/>
      <c r="BI12" s="25">
        <f>'[1]0. ГИРА'!BI12</f>
        <v/>
      </c>
      <c r="BJ12" s="24" t="n"/>
      <c r="BK12" s="24" t="n"/>
      <c r="BL12" s="25">
        <f>'[1]0. ГИРА'!BL12</f>
        <v/>
      </c>
      <c r="BM12" s="24" t="n"/>
      <c r="BN12" s="24" t="n"/>
      <c r="BO12" s="25">
        <f>'[1]0. ГИРА'!BO12</f>
        <v/>
      </c>
      <c r="BP12" s="24" t="n"/>
      <c r="BQ12" s="24" t="n"/>
      <c r="BR12" s="25">
        <f>'[1]0. ГИРА'!BR12</f>
        <v/>
      </c>
      <c r="BS12" s="24" t="n"/>
      <c r="BT12" s="24" t="n"/>
      <c r="BU12" s="25">
        <f>'[1]0. ГИРА'!BU12</f>
        <v/>
      </c>
      <c r="BV12" s="24" t="n"/>
      <c r="BW12" s="24" t="n"/>
      <c r="BX12" s="25">
        <f>'[1]0. ГИРА'!BX12</f>
        <v/>
      </c>
      <c r="BY12" s="24" t="n"/>
      <c r="BZ12" s="24" t="n"/>
      <c r="CA12" s="25">
        <f>'[1]0. ГИРА'!CA12</f>
        <v/>
      </c>
      <c r="CB12" s="24" t="n"/>
      <c r="CC12" s="24" t="n"/>
      <c r="CD12" s="25">
        <f>'[1]0. ГИРА'!CD12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2026-03-24T18:17:27Z</dcterms:modified>
  <cp:lastModifiedBy>Amin</cp:lastModifiedBy>
</cp:coreProperties>
</file>